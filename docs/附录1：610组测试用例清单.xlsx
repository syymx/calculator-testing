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work_space\soft_ware_test\calculator-testing\docs\"/>
    </mc:Choice>
  </mc:AlternateContent>
  <xr:revisionPtr revIDLastSave="0" documentId="13_ncr:1_{EA587F71-12DC-45E7-8946-B5F6AA39BA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_xlnm.Print_Area" localSheetId="0">Information文档信息!$B$2:$K$43</definedName>
    <definedName name="_xlnm.Print_Area" localSheetId="1">'Test Cases测试用例'!$A$1:$M$95</definedName>
    <definedName name="_xlnm.Print_Titles" localSheetId="1">'Test Cases测试用例'!$1:$1</definedName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1" l="1"/>
  <c r="E41" i="1"/>
  <c r="C41" i="1"/>
  <c r="E40" i="1"/>
  <c r="C40" i="1"/>
  <c r="E39" i="1"/>
  <c r="C39" i="1"/>
  <c r="E38" i="1"/>
  <c r="C38" i="1"/>
  <c r="E13" i="1"/>
</calcChain>
</file>

<file path=xl/sharedStrings.xml><?xml version="1.0" encoding="utf-8"?>
<sst xmlns="http://schemas.openxmlformats.org/spreadsheetml/2006/main" count="1289" uniqueCount="480">
  <si>
    <t>Test  Case Form 测试用例表单</t>
  </si>
  <si>
    <t>General Information 基本信息</t>
  </si>
  <si>
    <t>Product Verion 产品版本</t>
  </si>
  <si>
    <t>Confidentiality level 密级</t>
  </si>
  <si>
    <t>Project Name 项目名称</t>
  </si>
  <si>
    <t>calculator_testing</t>
  </si>
  <si>
    <t>Project ID 项目ID</t>
  </si>
  <si>
    <t>CALC</t>
  </si>
  <si>
    <t>Prepared by 拟制</t>
  </si>
  <si>
    <t>Date 日期</t>
  </si>
  <si>
    <t>Reviewed by 评审人</t>
  </si>
  <si>
    <t>Approved by 批准</t>
  </si>
  <si>
    <t>Number of Test cases 测试用例数</t>
  </si>
  <si>
    <t>Introduction 概述</t>
  </si>
  <si>
    <t>按当前 tests 的 11 个文件编制，1 条 TEST 对应 1 行，共 94 条。冒烟1、基础7、优先级4、括号4、位运算5、复杂表达式11、边界21、错误表达式10、异常4、非法输入10、溢出17。2026-09-15实测：90条通过，4条失败。备注记录测试方法、测试名及源码位置。</t>
  </si>
  <si>
    <t>Revision Record 修订记录</t>
  </si>
  <si>
    <t xml:space="preserve">Date 日期 </t>
  </si>
  <si>
    <t>Revision Version 修订 版本</t>
  </si>
  <si>
    <t>CR ID / Defect ID CR号</t>
  </si>
  <si>
    <t>Change Description 修改描述</t>
  </si>
  <si>
    <t>Author 作者</t>
  </si>
  <si>
    <t>1.00</t>
  </si>
  <si>
    <t>依据当前94条测试重新填写输入、步骤、预期和实际结果，更新统计并补充源码对应关系。</t>
  </si>
  <si>
    <t>Distribution LIST 分发记录</t>
  </si>
  <si>
    <t>Copy No.</t>
  </si>
  <si>
    <t>Holder's Name &amp; Role  持有者和角色</t>
  </si>
  <si>
    <t>Issue Date  分发日期</t>
  </si>
  <si>
    <t>测试结果分析</t>
  </si>
  <si>
    <t>OK项</t>
  </si>
  <si>
    <t>OK率</t>
  </si>
  <si>
    <t>POK项</t>
  </si>
  <si>
    <t>POK率</t>
  </si>
  <si>
    <t>NG项</t>
  </si>
  <si>
    <t>NG率</t>
  </si>
  <si>
    <t>NT项</t>
  </si>
  <si>
    <t>NT率</t>
  </si>
  <si>
    <t>用例总个数</t>
  </si>
  <si>
    <t>Test Case ID 测试用例编号</t>
  </si>
  <si>
    <t>Test Item 测试项（即功能模块或函数）</t>
  </si>
  <si>
    <t>Test Case Title 测试用例标题</t>
  </si>
  <si>
    <t>Test Criticality重要级别</t>
  </si>
  <si>
    <t>是否自动用例</t>
  </si>
  <si>
    <t>是否新增修改用例</t>
  </si>
  <si>
    <t>Pre-condition 预置条件</t>
  </si>
  <si>
    <t>Input 输入</t>
  </si>
  <si>
    <t>Procedure 操作步骤</t>
  </si>
  <si>
    <t>Output 预期结果</t>
  </si>
  <si>
    <t>Result
实际结果</t>
  </si>
  <si>
    <t>Status
是否通过</t>
  </si>
  <si>
    <t>Remark 备注（在此描述使用的测试方法）</t>
  </si>
  <si>
    <t>CALC-UT-001</t>
  </si>
  <si>
    <t>calculator::eval()</t>
  </si>
  <si>
    <t>基础加法冒烟测试</t>
  </si>
  <si>
    <t>High</t>
  </si>
  <si>
    <t>是</t>
  </si>
  <si>
    <t>否</t>
  </si>
  <si>
    <t>GoogleTest 环境可用；
eval 默认使用 int64_t</t>
  </si>
  <si>
    <t>"1 + 2"</t>
  </si>
  <si>
    <t>1. 按输入构造表达式并调用 eval()。
2. 按代码断言核对长度、返回值或异常。</t>
  </si>
  <si>
    <t>返回 3</t>
  </si>
  <si>
    <t>OK</t>
  </si>
  <si>
    <t>冒烟测试
tests/test_smoke.cpp:4
CalculatorSmokeTest.BasicAddition</t>
  </si>
  <si>
    <t>CALC-UT-002</t>
  </si>
  <si>
    <t>加法</t>
  </si>
  <si>
    <t>等价类划分法
tests/test_basic.cpp:5
CalculatorBasicTest.Addition</t>
  </si>
  <si>
    <t>POK</t>
  </si>
  <si>
    <t>CALC-UT-003</t>
  </si>
  <si>
    <t>减法</t>
  </si>
  <si>
    <t>"10 - 7"</t>
  </si>
  <si>
    <t>等价类划分法
tests/test_basic.cpp:11
CalculatorBasicTest.Subtraction</t>
  </si>
  <si>
    <t>NG</t>
  </si>
  <si>
    <t>CALC-UT-004</t>
  </si>
  <si>
    <t>乘法</t>
  </si>
  <si>
    <t>"6 * 7"</t>
  </si>
  <si>
    <t>返回 42</t>
  </si>
  <si>
    <t>等价类划分法
tests/test_basic.cpp:17
CalculatorBasicTest.Multiplication</t>
  </si>
  <si>
    <t>NT</t>
  </si>
  <si>
    <t>CALC-UT-005</t>
  </si>
  <si>
    <t>除法</t>
  </si>
  <si>
    <t>"20 / 5"</t>
  </si>
  <si>
    <t>返回 4</t>
  </si>
  <si>
    <t>等价类划分法
tests/test_basic.cpp:23
CalculatorBasicTest.Division</t>
  </si>
  <si>
    <t>CALC-UT-006</t>
  </si>
  <si>
    <t>取模</t>
  </si>
  <si>
    <t>"20 % 6"</t>
  </si>
  <si>
    <t>返回 2</t>
  </si>
  <si>
    <t>等价类划分法
tests/test_basic.cpp:29
CalculatorBasicTest.Modulo</t>
  </si>
  <si>
    <t>CALC-UT-007</t>
  </si>
  <si>
    <t>负数参与运算</t>
  </si>
  <si>
    <t>"-5 + 2"</t>
  </si>
  <si>
    <t>返回 -3</t>
  </si>
  <si>
    <t>等价类划分法
tests/test_basic.cpp:35
CalculatorBasicTest.NegativeNumber</t>
  </si>
  <si>
    <t>CALC-UT-008</t>
  </si>
  <si>
    <t>零参与运算</t>
  </si>
  <si>
    <t>"0 + 15"</t>
  </si>
  <si>
    <t>返回 15</t>
  </si>
  <si>
    <t>等价类划分法
tests/test_basic.cpp:41
CalculatorBasicTest.ZeroOperand</t>
  </si>
  <si>
    <t>CALC-UT-009</t>
  </si>
  <si>
    <t>乘法优先于加法</t>
  </si>
  <si>
    <t>"1 + 2 * 3"</t>
  </si>
  <si>
    <t>返回 7</t>
  </si>
  <si>
    <t>等价类划分法
tests/test_precedence.cpp:5
CalculatorPrecedenceTest.MultiplicationBeforeAddition</t>
  </si>
  <si>
    <t>CALC-UT-010</t>
  </si>
  <si>
    <t>除法优先于加法</t>
  </si>
  <si>
    <t>"3 + 20 / 5"</t>
  </si>
  <si>
    <t>等价类划分法
tests/test_precedence.cpp:11
CalculatorPrecedenceTest.DivisionBeforeAddition</t>
  </si>
  <si>
    <t>CALC-UT-011</t>
  </si>
  <si>
    <t>乘法与加减混合</t>
  </si>
  <si>
    <t>"2 + 3 * 4 - 5"</t>
  </si>
  <si>
    <t>返回 9</t>
  </si>
  <si>
    <t>等价类划分法
tests/test_precedence.cpp:17
CalculatorPrecedenceTest.MixedArithmetic</t>
  </si>
  <si>
    <t>CALC-UT-012</t>
  </si>
  <si>
    <t>幂运算优先于乘法</t>
  </si>
  <si>
    <t>"2 ** 3 * 2"</t>
  </si>
  <si>
    <t>返回 16</t>
  </si>
  <si>
    <t>等价类划分法
tests/test_precedence.cpp:23
CalculatorPrecedenceTest.PowerBeforeMultiplication</t>
  </si>
  <si>
    <t>CALC-UT-013</t>
  </si>
  <si>
    <t>括号改变运算顺序</t>
  </si>
  <si>
    <t>"(1 + 2) * 3"</t>
  </si>
  <si>
    <t>等价类划分法
tests/test_parentheses.cpp:5
CalculatorParenthesesTest.ChangePrecedence</t>
  </si>
  <si>
    <t>CALC-UT-014</t>
  </si>
  <si>
    <t>多层括号</t>
  </si>
  <si>
    <t>"((2 + 3) * 4)"</t>
  </si>
  <si>
    <t>返回 20</t>
  </si>
  <si>
    <t>等价类划分法
tests/test_parentheses.cpp:11
CalculatorParenthesesTest.NestedParentheses</t>
  </si>
  <si>
    <t>CALC-UT-015</t>
  </si>
  <si>
    <t>减法与括号</t>
  </si>
  <si>
    <t>"10 - (2 + 3)"</t>
  </si>
  <si>
    <t>返回 5</t>
  </si>
  <si>
    <t>等价类划分法
tests/test_parentheses.cpp:17
CalculatorParenthesesTest.SubtractionWithParentheses</t>
  </si>
  <si>
    <t>CALC-UT-016</t>
  </si>
  <si>
    <t>括号整体取负</t>
  </si>
  <si>
    <t>"-(2 + 3)"</t>
  </si>
  <si>
    <t>返回 -5</t>
  </si>
  <si>
    <t>等价类划分法
tests/test_parentheses.cpp:23
CalculatorParenthesesTest.NegativeParentheses</t>
  </si>
  <si>
    <t>CALC-UT-017</t>
  </si>
  <si>
    <t>按位与</t>
  </si>
  <si>
    <t>"5 &amp; 3"</t>
  </si>
  <si>
    <t>返回 1</t>
  </si>
  <si>
    <t>等价类划分法
tests/test_bitwise.cpp:5
CalculatorBitwiseTest.BitwiseAnd</t>
  </si>
  <si>
    <t>CALC-UT-018</t>
  </si>
  <si>
    <t>按位或</t>
  </si>
  <si>
    <t>"5 | 2"</t>
  </si>
  <si>
    <t>等价类划分法
tests/test_bitwise.cpp:11
CalculatorBitwiseTest.BitwiseOr</t>
  </si>
  <si>
    <t>CALC-UT-019</t>
  </si>
  <si>
    <t>左移</t>
  </si>
  <si>
    <t>"1 &lt;&lt; 3"</t>
  </si>
  <si>
    <t>返回 8</t>
  </si>
  <si>
    <t>等价类划分法
tests/test_bitwise.cpp:17
CalculatorBitwiseTest.LeftShift</t>
  </si>
  <si>
    <t>CALC-UT-020</t>
  </si>
  <si>
    <t>右移</t>
  </si>
  <si>
    <t>"8 &gt;&gt; 2"</t>
  </si>
  <si>
    <t>等价类划分法
tests/test_bitwise.cpp:23
CalculatorBitwiseTest.RightShift</t>
  </si>
  <si>
    <t>CALC-UT-021</t>
  </si>
  <si>
    <t>按位取反</t>
  </si>
  <si>
    <t>"~0"</t>
  </si>
  <si>
    <t>返回 -1</t>
  </si>
  <si>
    <t>等价类划分法
tests/test_bitwise.cpp:29
CalculatorBitwiseTest.BitwiseNot</t>
  </si>
  <si>
    <t>CALC-UT-022</t>
  </si>
  <si>
    <t>十六进制参与运算</t>
  </si>
  <si>
    <t>"0x10 + 1"</t>
  </si>
  <si>
    <t>返回 17</t>
  </si>
  <si>
    <t>等价类划分法
tests/test_complex.cpp:5
CalculatorComplexTest.HexadecimalExpression</t>
  </si>
  <si>
    <t>CALC-UT-023</t>
  </si>
  <si>
    <t>幂运算、括号与移位组合</t>
  </si>
  <si>
    <t>"(2 ** 3) + (1 &lt;&lt; 4)"</t>
  </si>
  <si>
    <t>返回 24</t>
  </si>
  <si>
    <t>等价类划分法
tests/test_complex.cpp:11
CalculatorComplexTest.PowerAndShift</t>
  </si>
  <si>
    <t>CALC-UT-024</t>
  </si>
  <si>
    <t>多种算术运算组合</t>
  </si>
  <si>
    <t>"5 * (2 + 3) - 10 / 2"</t>
  </si>
  <si>
    <t>等价类划分法
tests/test_complex.cpp:17
CalculatorComplexTest.MixedExpression</t>
  </si>
  <si>
    <t>CALC-UT-025</t>
  </si>
  <si>
    <t>科学计数的大小写符号及偶数指数路径</t>
  </si>
  <si>
    <t>"2e2 + 3E1"</t>
  </si>
  <si>
    <t>返回 230</t>
  </si>
  <si>
    <t>等价类划分法
tests/test_complex.cpp:23
CalculatorComplexTest.ScientificNotationBothCases</t>
  </si>
  <si>
    <t>CALC-UT-026</t>
  </si>
  <si>
    <t>^ 表示乘方，零的零次方按库约定返回 1</t>
  </si>
  <si>
    <t>"0 ^ 0"</t>
  </si>
  <si>
    <t>等价类划分法
tests/test_complex.cpp:29
CalculatorComplexTest.ZeroToZeroPower</t>
  </si>
  <si>
    <t>CALC-UT-027</t>
  </si>
  <si>
    <t>底数为 1 的快速返回路径</t>
  </si>
  <si>
    <t>"1 ** 3"</t>
  </si>
  <si>
    <t>等价类划分法
tests/test_complex.cpp:35
CalculatorComplexTest.UnitBasePower</t>
  </si>
  <si>
    <t>CALC-UT-028</t>
  </si>
  <si>
    <t>零的正整数次方</t>
  </si>
  <si>
    <t>"0 ** 2"</t>
  </si>
  <si>
    <t>返回 0</t>
  </si>
  <si>
    <t>等价类划分法
tests/test_complex.cpp:41
CalculatorComplexTest.ZeroToPositivePower</t>
  </si>
  <si>
    <t>CALC-UT-029</t>
  </si>
  <si>
    <t>零的负整数次方触发除零异常</t>
  </si>
  <si>
    <t>"0 ** -1"</t>
  </si>
  <si>
    <t>抛出 calculator::error</t>
  </si>
  <si>
    <t>等价类划分法
tests/test_complex.cpp:47
CalculatorComplexTest.ZeroToNegativePower</t>
  </si>
  <si>
    <t>CALC-UT-030</t>
  </si>
  <si>
    <t>负一的偶数次方</t>
  </si>
  <si>
    <t>"(-1) ** 2"</t>
  </si>
  <si>
    <t>等价类划分法
tests/test_complex.cpp:53
CalculatorComplexTest.NegativeUnitEvenPower</t>
  </si>
  <si>
    <t>CALC-UT-031</t>
  </si>
  <si>
    <t>负一的奇数次方</t>
  </si>
  <si>
    <t>"(-1) ** 3"</t>
  </si>
  <si>
    <t>等价类划分法
tests/test_complex.cpp:59
CalculatorComplexTest.NegativeUnitOddPower</t>
  </si>
  <si>
    <t>CALC-UT-032</t>
  </si>
  <si>
    <t>整数求值中普通底数的负指数返回 0</t>
  </si>
  <si>
    <t>"2 ** -1"</t>
  </si>
  <si>
    <t>等价类划分法
tests/test_complex.cpp:65
CalculatorComplexTest.IntegerNegativePower</t>
  </si>
  <si>
    <t>CALC-UT-033</t>
  </si>
  <si>
    <t>十进制上界</t>
  </si>
  <si>
    <t>"9223372036854775807"</t>
  </si>
  <si>
    <t>返回 9223372036854775807</t>
  </si>
  <si>
    <t>边界值分析法
tests/test_boundary.cpp:9
BoundaryTest.Int64Max</t>
  </si>
  <si>
    <t>CALC-UT-034</t>
  </si>
  <si>
    <t>十进制上界邻值</t>
  </si>
  <si>
    <t>"9223372036854775806"</t>
  </si>
  <si>
    <t>返回 9223372036854775806</t>
  </si>
  <si>
    <t>边界值分析法
tests/test_boundary.cpp:17
BoundaryTest.NearInt64Max</t>
  </si>
  <si>
    <t>CALC-UT-035</t>
  </si>
  <si>
    <t>加法达到上界</t>
  </si>
  <si>
    <t>"9223372036854775806 + 1"</t>
  </si>
  <si>
    <t>边界值分析法
tests/test_boundary.cpp:25
BoundaryTest.ReachInt64Max</t>
  </si>
  <si>
    <t>CALC-UT-036</t>
  </si>
  <si>
    <t>十进制下界邻值</t>
  </si>
  <si>
    <t>"-9223372036854775807"</t>
  </si>
  <si>
    <t>返回 -9223372036854775807</t>
  </si>
  <si>
    <t>边界值分析法
tests/test_boundary.cpp:33
BoundaryTest.NearInt64Min</t>
  </si>
  <si>
    <t>CALC-UT-037</t>
  </si>
  <si>
    <t>减法达到下界</t>
  </si>
  <si>
    <t>"-9223372036854775807 - 1"</t>
  </si>
  <si>
    <t>返回 -9223372036854775808</t>
  </si>
  <si>
    <t>边界值分析法
tests/test_boundary.cpp:41
BoundaryTest.ReachInt64Min</t>
  </si>
  <si>
    <t>CALC-UT-038</t>
  </si>
  <si>
    <t>零值</t>
  </si>
  <si>
    <t>"0"</t>
  </si>
  <si>
    <t>边界值分析法
tests/test_boundary.cpp:49
BoundaryTest.ZeroValue</t>
  </si>
  <si>
    <t>CALC-UT-039</t>
  </si>
  <si>
    <t>十六进制零值</t>
  </si>
  <si>
    <t>"0x0"</t>
  </si>
  <si>
    <t>边界值分析法
tests/test_boundary.cpp:54
BoundaryTest.HexZero</t>
  </si>
  <si>
    <t>CALC-UT-040</t>
  </si>
  <si>
    <t>十六进制上界邻值</t>
  </si>
  <si>
    <t>"0x7FFFFFFFFFFFFFFE"</t>
  </si>
  <si>
    <t>边界值分析法
tests/test_boundary.cpp:59
BoundaryTest.HexNearInt64Max</t>
  </si>
  <si>
    <t>CALC-UT-041</t>
  </si>
  <si>
    <t>十六进制上界</t>
  </si>
  <si>
    <t>"0x7FFFFFFFFFFFFFFF"</t>
  </si>
  <si>
    <t>边界值分析法
tests/test_boundary.cpp:67
BoundaryTest.HexInt64Max</t>
  </si>
  <si>
    <t>CALC-UT-042</t>
  </si>
  <si>
    <t>十六进制加法达到上界</t>
  </si>
  <si>
    <t>"0x7FFFFFFFFFFFFFFE + 1"</t>
  </si>
  <si>
    <t>边界值分析法
tests/test_boundary.cpp:75
BoundaryTest.HexReachInt64Max</t>
  </si>
  <si>
    <t>CALC-UT-043</t>
  </si>
  <si>
    <t>十六进制减法达到下界</t>
  </si>
  <si>
    <t>"-0x7FFFFFFFFFFFFFFF - 1"</t>
  </si>
  <si>
    <t>边界值分析法
tests/test_boundary.cpp:83
BoundaryTest.HexReachInt64Min</t>
  </si>
  <si>
    <t>CALC-UT-044</t>
  </si>
  <si>
    <t>左移零位</t>
  </si>
  <si>
    <t>"1 &lt;&lt; 0"</t>
  </si>
  <si>
    <t>边界值分析法
tests/test_boundary.cpp:91
BoundaryTest.ShiftByZero</t>
  </si>
  <si>
    <t>CALC-UT-045</t>
  </si>
  <si>
    <t>左移62位</t>
  </si>
  <si>
    <t>"1 &lt;&lt; 62"</t>
  </si>
  <si>
    <t>返回 4611686018427387904</t>
  </si>
  <si>
    <t>边界值分析法
tests/test_boundary.cpp:96
BoundaryTest.LargeValidLeftShift</t>
  </si>
  <si>
    <t>CALC-UT-046</t>
  </si>
  <si>
    <t>右移63位</t>
  </si>
  <si>
    <t>"1 &gt;&gt; 63"</t>
  </si>
  <si>
    <t>边界值分析法
tests/test_boundary.cpp:104
BoundaryTest.LargeValidRightShift</t>
  </si>
  <si>
    <t>CALC-UT-047</t>
  </si>
  <si>
    <t>最短表达式</t>
  </si>
  <si>
    <t>"1"</t>
  </si>
  <si>
    <t>表达式长度为 1；
返回 1</t>
  </si>
  <si>
    <t>边界值分析法
tests/test_boundary.cpp:109
BoundaryTest.MinimumExpressionLength</t>
  </si>
  <si>
    <t>CALC-UT-048</t>
  </si>
  <si>
    <t>表达式长度9998</t>
  </si>
  <si>
    <t>"+1" 后拼接 4998 个 "+0"</t>
  </si>
  <si>
    <t>表达式长度为 9998；
返回 1</t>
  </si>
  <si>
    <t>边界值分析法
tests/test_boundary.cpp:117
BoundaryTest.ExpressionLength9998</t>
  </si>
  <si>
    <t>CALC-UT-049</t>
  </si>
  <si>
    <t>表达式长度9999</t>
  </si>
  <si>
    <t>"1" 后拼接 4999 个 "+0"</t>
  </si>
  <si>
    <t>表达式长度为 9999；
返回 1</t>
  </si>
  <si>
    <t>边界值分析法
tests/test_boundary.cpp:129
BoundaryTest.ExpressionLength9999</t>
  </si>
  <si>
    <t>CALC-UT-050</t>
  </si>
  <si>
    <t>表达式长度10000</t>
  </si>
  <si>
    <t>"+1" 后拼接 4999 个 "+0"</t>
  </si>
  <si>
    <t>表达式长度为 10000；
抛出 calculator::error</t>
  </si>
  <si>
    <t>边界值分析法
tests/test_boundary.cpp:141
BoundaryTest.ExpressionLength10000</t>
  </si>
  <si>
    <t>CALC-UT-051</t>
  </si>
  <si>
    <t>单层括号</t>
  </si>
  <si>
    <t>"(1)"</t>
  </si>
  <si>
    <t>边界值分析法
tests/test_boundary.cpp:153
BoundaryTest.SingleParentheses</t>
  </si>
  <si>
    <t>CALC-UT-052</t>
  </si>
  <si>
    <t>百层括号</t>
  </si>
  <si>
    <t>100 个左括号 + "1" + 100 个右括号</t>
  </si>
  <si>
    <t>边界值分析法
tests/test_boundary.cpp:158
BoundaryTest.DeepParentheses</t>
  </si>
  <si>
    <t>CALC-UT-053</t>
  </si>
  <si>
    <t>十进制下界直接解析</t>
  </si>
  <si>
    <t>"-9223372036854775808"</t>
  </si>
  <si>
    <t>不抛出异常；
返回 -9223372036854775808</t>
  </si>
  <si>
    <t>抛出 calculator::error；未返回预期最小值</t>
  </si>
  <si>
    <t>边界值分析法
tests/test_boundary.cpp:169
BoundaryTest.Int64MinDecimalLiteral</t>
  </si>
  <si>
    <t>CALC-UT-054</t>
  </si>
  <si>
    <t>缺少右操作数</t>
  </si>
  <si>
    <t>"1 +"</t>
  </si>
  <si>
    <t>等价类划分法
tests/test_error_expression.cpp:6
ErrorExpressionTest.MissingRightOperand</t>
  </si>
  <si>
    <t>CALC-UT-055</t>
  </si>
  <si>
    <t>缺少左操作数</t>
  </si>
  <si>
    <t>"* 2"</t>
  </si>
  <si>
    <t>等价类划分法
tests/test_error_expression.cpp:14
ErrorExpressionTest.MissingLeftOperand</t>
  </si>
  <si>
    <t>CALC-UT-056</t>
  </si>
  <si>
    <t>运算符后缺少操作数</t>
  </si>
  <si>
    <t>"1 + * 2"</t>
  </si>
  <si>
    <t>等价类划分法
tests/test_error_expression.cpp:22
ErrorExpressionTest.MissingOperandAfterOperator</t>
  </si>
  <si>
    <t>CALC-UT-057</t>
  </si>
  <si>
    <t>缺少右括号</t>
  </si>
  <si>
    <t>"(1 + 2"</t>
  </si>
  <si>
    <t>等价类划分法
tests/test_error_expression.cpp:30
ErrorExpressionTest.MissingRightParenthesis</t>
  </si>
  <si>
    <t>CALC-UT-058</t>
  </si>
  <si>
    <t>多余右括号</t>
  </si>
  <si>
    <t>"1 + 2)"</t>
  </si>
  <si>
    <t>等价类划分法
tests/test_error_expression.cpp:38
ErrorExpressionTest.ExtraRightParenthesis</t>
  </si>
  <si>
    <t>CALC-UT-059</t>
  </si>
  <si>
    <t>空括号</t>
  </si>
  <si>
    <t>"()"</t>
  </si>
  <si>
    <t>等价类划分法
tests/test_error_expression.cpp:46
ErrorExpressionTest.EmptyParentheses</t>
  </si>
  <si>
    <t>CALC-UT-060</t>
  </si>
  <si>
    <t>乘除运算符相邻</t>
  </si>
  <si>
    <t>"1 * / 2"</t>
  </si>
  <si>
    <t>等价类划分法
tests/test_error_expression.cpp:54
ErrorExpressionTest.ConsecutiveMultiplyDivide</t>
  </si>
  <si>
    <t>CALC-UT-061</t>
  </si>
  <si>
    <t>连续三个星号</t>
  </si>
  <si>
    <t>"1 *** 2"</t>
  </si>
  <si>
    <t>等价类划分法
tests/test_error_expression.cpp:62
ErrorExpressionTest.TripleAsterisk</t>
  </si>
  <si>
    <t>CALC-UT-062</t>
  </si>
  <si>
    <t>操作数间缺少运算符</t>
  </si>
  <si>
    <t>"1 2"</t>
  </si>
  <si>
    <t>等价类划分法
tests/test_error_expression.cpp:70
ErrorExpressionTest.MissingOperatorBetweenOperands</t>
  </si>
  <si>
    <t>CALC-UT-063</t>
  </si>
  <si>
    <t>括号间缺少运算符</t>
  </si>
  <si>
    <t>"(1)(2)"</t>
  </si>
  <si>
    <t>等价类划分法
tests/test_error_expression.cpp:78
ErrorExpressionTest.MissingOperatorBetweenParentheses</t>
  </si>
  <si>
    <t>CALC-UT-064</t>
  </si>
  <si>
    <t>直接除零</t>
  </si>
  <si>
    <t>"10 / 0"</t>
  </si>
  <si>
    <t>错误推测法
tests/test_exception.cpp:6
ExceptionTest.DivisionByZero</t>
  </si>
  <si>
    <t>CALC-UT-065</t>
  </si>
  <si>
    <t>表达式除零</t>
  </si>
  <si>
    <t>"10 / (2 - 2)"</t>
  </si>
  <si>
    <t>错误推测法
tests/test_exception.cpp:14
ExceptionTest.DivisionByExpressionZero</t>
  </si>
  <si>
    <t>CALC-UT-066</t>
  </si>
  <si>
    <t>直接模零</t>
  </si>
  <si>
    <t>"10 % 0"</t>
  </si>
  <si>
    <t>错误推测法
tests/test_exception.cpp:22
ExceptionTest.ModuloByZero</t>
  </si>
  <si>
    <t>CALC-UT-067</t>
  </si>
  <si>
    <t>表达式模零</t>
  </si>
  <si>
    <t>"10 % (2 - 2)"</t>
  </si>
  <si>
    <t>错误推测法
tests/test_exception.cpp:30
ExceptionTest.ModuloByExpressionZero</t>
  </si>
  <si>
    <t>CALC-UT-068</t>
  </si>
  <si>
    <t>空输入</t>
  </si>
  <si>
    <t>""</t>
  </si>
  <si>
    <t>等价类划分法
tests/test_invalide_input.cpp:6
InvalidInputTest.EmptyInput</t>
  </si>
  <si>
    <t>CALC-UT-069</t>
  </si>
  <si>
    <t>纯空白输入</t>
  </si>
  <si>
    <t>"   "</t>
  </si>
  <si>
    <t>等价类划分法
tests/test_invalide_input.cpp:14
InvalidInputTest.WhitespaceOnly</t>
  </si>
  <si>
    <t>CALC-UT-070</t>
  </si>
  <si>
    <t>十进制数字含非法字符</t>
  </si>
  <si>
    <t>"1z22222"</t>
  </si>
  <si>
    <t>等价类划分法
tests/test_invalide_input.cpp:22
InvalidInputTest.InvalidDecimalNumber</t>
  </si>
  <si>
    <t>CALC-UT-071</t>
  </si>
  <si>
    <t>十六进制含非法字符</t>
  </si>
  <si>
    <t>"0xG1"</t>
  </si>
  <si>
    <t>等价类划分法
tests/test_invalide_input.cpp:30
InvalidInputTest.InvalidHexDigit</t>
  </si>
  <si>
    <t>CALC-UT-072</t>
  </si>
  <si>
    <t>十六进制缺少数字</t>
  </si>
  <si>
    <t>"0x"</t>
  </si>
  <si>
    <t>等价类划分法
tests/test_invalide_input.cpp:38
InvalidInputTest.IncompleteHexNumber</t>
  </si>
  <si>
    <t>CALC-UT-073</t>
  </si>
  <si>
    <t>非法字符@</t>
  </si>
  <si>
    <t>"1 @ 2"</t>
  </si>
  <si>
    <t>等价类划分法
tests/test_invalide_input.cpp:46
InvalidInputTest.InvalidCharacterAt</t>
  </si>
  <si>
    <t>CALC-UT-074</t>
  </si>
  <si>
    <t>不支持逻辑与</t>
  </si>
  <si>
    <t>"1 &amp;&amp; 2"</t>
  </si>
  <si>
    <t>等价类划分法
tests/test_invalide_input.cpp:54
InvalidInputTest.InvalidLogicalAndToken</t>
  </si>
  <si>
    <t>CALC-UT-075</t>
  </si>
  <si>
    <t>不支持逻辑或</t>
  </si>
  <si>
    <t>"1 || 2"</t>
  </si>
  <si>
    <t>等价类划分法
tests/test_invalide_input.cpp:62
InvalidInputTest.InvalidLogicalOrToken</t>
  </si>
  <si>
    <t>CALC-UT-076</t>
  </si>
  <si>
    <t>移位次数等于位宽</t>
  </si>
  <si>
    <t>"1 &lt;&lt; 64"；
"1 &gt;&gt; 64"</t>
  </si>
  <si>
    <t>抛出 calculator::error；
抛出 calculator::error</t>
  </si>
  <si>
    <t>左移64位、右移64位均未抛出异常</t>
  </si>
  <si>
    <t>等价类划分法
tests/test_invalide_input.cpp:70
InvalidInputTest.ShiftCountAtBitWidth</t>
  </si>
  <si>
    <t>CALC-UT-077</t>
  </si>
  <si>
    <t>负数移位</t>
  </si>
  <si>
    <t>"1 &lt;&lt; -1"</t>
  </si>
  <si>
    <t>未抛出异常</t>
  </si>
  <si>
    <t>等价类划分法
tests/test_invalide_input.cpp:83
InvalidInputTest.NegativeShiftCount</t>
  </si>
  <si>
    <t>CALC-UT-078</t>
  </si>
  <si>
    <t>加法溢出</t>
  </si>
  <si>
    <t>"9223372036854775807 + 1"</t>
  </si>
  <si>
    <t>错误推测法
tests/test_overflow.cpp:6
OverflowTest.AdditionOverflow</t>
  </si>
  <si>
    <t>CALC-UT-079</t>
  </si>
  <si>
    <t>减法下溢</t>
  </si>
  <si>
    <t>"-9223372036854775807 - 2"</t>
  </si>
  <si>
    <t>错误推测法
tests/test_overflow.cpp:14
OverflowTest.SubtractionUnderflow</t>
  </si>
  <si>
    <t>CALC-UT-080</t>
  </si>
  <si>
    <t>乘法溢出</t>
  </si>
  <si>
    <t>"3037000500 * 3037000500"</t>
  </si>
  <si>
    <t>错误推测法
tests/test_overflow.cpp:22
OverflowTest.MultiplicationOverflow</t>
  </si>
  <si>
    <t>CALC-UT-081</t>
  </si>
  <si>
    <t>幂运算溢出</t>
  </si>
  <si>
    <t>"2 ** 63"</t>
  </si>
  <si>
    <t>错误推测法
tests/test_overflow.cpp:30
OverflowTest.PowerOverflow</t>
  </si>
  <si>
    <t>CALC-UT-082</t>
  </si>
  <si>
    <t>最小整数除以负一</t>
  </si>
  <si>
    <t>"(-9223372036854775807 - 1) / -1"</t>
  </si>
  <si>
    <t>错误推测法
tests/test_overflow.cpp:38
OverflowTest.Int64MinDivideNegativeOne</t>
  </si>
  <si>
    <t>CALC-UT-083</t>
  </si>
  <si>
    <t>零减最小整数溢出</t>
  </si>
  <si>
    <t>"0-(-9223372036854775807-1)"</t>
  </si>
  <si>
    <t>错误推测法
tests/test_overflow.cpp:48
OverflowTest.ZeroMinusInt64MinOverflow</t>
  </si>
  <si>
    <t>CALC-UT-084</t>
  </si>
  <si>
    <t>十进制解析溢出</t>
  </si>
  <si>
    <t>"9223372036854775808"</t>
  </si>
  <si>
    <t>错误推测法
tests/test_overflow.cpp:56
OverflowTest.DecimalConversionOverflow</t>
  </si>
  <si>
    <t>CALC-UT-085</t>
  </si>
  <si>
    <t>十六进制解析溢出</t>
  </si>
  <si>
    <t>"0x8000000000000000"</t>
  </si>
  <si>
    <t>错误推测法
tests/test_overflow.cpp:64
OverflowTest.HexConversionOverflow</t>
  </si>
  <si>
    <t>CALC-UT-086</t>
  </si>
  <si>
    <t>两个负数相加下溢；通过表达式构造最小值，避开字面量解析缺陷</t>
  </si>
  <si>
    <t>"(-9223372036854775807 - 1) + (-1)"</t>
  </si>
  <si>
    <t>错误推测法
tests/test_overflow.cpp:72
OverflowTest.NegativeAdditionUnderflow</t>
  </si>
  <si>
    <t>CALC-UT-087</t>
  </si>
  <si>
    <t>正数减负数的正向溢出，与零减最小值的用例对应不同条件</t>
  </si>
  <si>
    <t>"1 - (-9223372036854775807 - 1)"</t>
  </si>
  <si>
    <t>错误推测法
tests/test_overflow.cpp:80
OverflowTest.PositiveMinusInt64MinOverflow</t>
  </si>
  <si>
    <t>CALC-UT-088</t>
  </si>
  <si>
    <t>正数乘负数的下溢检查</t>
  </si>
  <si>
    <t>"2 * (-9223372036854775807 - 1)"</t>
  </si>
  <si>
    <t>错误推测法
tests/test_overflow.cpp:88
OverflowTest.PositiveTimesNegativeUnderflow</t>
  </si>
  <si>
    <t>CALC-UT-089</t>
  </si>
  <si>
    <t>负数乘正数走独立的下溢检查分支</t>
  </si>
  <si>
    <t>"(-9223372036854775807 - 1) * 2"</t>
  </si>
  <si>
    <t>错误推测法
tests/test_overflow.cpp:96
OverflowTest.NegativeTimesPositiveUnderflow</t>
  </si>
  <si>
    <t>CALC-UT-090</t>
  </si>
  <si>
    <t>两个负数相乘的一般溢出检查</t>
  </si>
  <si>
    <t>"(-3037000500) * (-3037000500)"</t>
  </si>
  <si>
    <t>错误推测法
tests/test_overflow.cpp:104
OverflowTest.NegativeTimesNegativeOverflow</t>
  </si>
  <si>
    <t>CALC-UT-091</t>
  </si>
  <si>
    <t>最小值位于左操作数时的特殊乘法溢出检查</t>
  </si>
  <si>
    <t>"(-9223372036854775807 - 1) * (-1)"</t>
  </si>
  <si>
    <t>错误推测法
tests/test_overflow.cpp:112
OverflowTest.Int64MinTimesNegativeOne</t>
  </si>
  <si>
    <t>CALC-UT-092</t>
  </si>
  <si>
    <t>最小值位于右操作数时走另一条特殊乘法检查分支</t>
  </si>
  <si>
    <t>"(-1) * (-9223372036854775807 - 1)"</t>
  </si>
  <si>
    <t>错误推测法
tests/test_overflow.cpp:120
OverflowTest.NegativeOneTimesInt64Min</t>
  </si>
  <si>
    <t>CALC-UT-093</t>
  </si>
  <si>
    <t>最小值模负一按库的安全检查规则抛出异常</t>
  </si>
  <si>
    <t>"(-9223372036854775807 - 1) % (-1)"</t>
  </si>
  <si>
    <t>错误推测法
tests/test_overflow.cpp:128
OverflowTest.Int64MinModuloNegativeOne</t>
  </si>
  <si>
    <t>CALC-UT-094</t>
  </si>
  <si>
    <t>对已计算得到的最小值取负，检查一元负号的溢出保护</t>
  </si>
  <si>
    <t>"-(-9223372036854775807 - 1)"</t>
  </si>
  <si>
    <t>错误推测法
tests/test_overflow.cpp:136
OverflowTest.NegateInt64MinOverflow</t>
  </si>
  <si>
    <r>
      <rPr>
        <b/>
        <sz val="12"/>
        <rFont val="Times New Roman"/>
        <family val="1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</si>
  <si>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family val="1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</si>
  <si>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family val="1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</si>
  <si>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family val="1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</si>
  <si>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family val="1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</si>
  <si>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family val="1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</si>
  <si>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family val="1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</si>
  <si>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family val="1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charset val="134"/>
      </rPr>
      <t>低</t>
    </r>
    <r>
      <rPr>
        <sz val="11"/>
        <rFont val="Times New Roman"/>
        <family val="1"/>
      </rPr>
      <t>.</t>
    </r>
  </si>
  <si>
    <r>
      <rPr>
        <sz val="11"/>
        <rFont val="Times New Roman"/>
        <family val="1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</si>
  <si>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family val="1"/>
      </rP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charset val="134"/>
      </rPr>
      <t>测试无法执行</t>
    </r>
  </si>
  <si>
    <r>
      <t xml:space="preserve">initial </t>
    </r>
    <r>
      <rPr>
        <sz val="12"/>
        <rFont val="宋体"/>
        <family val="3"/>
        <charset val="134"/>
      </rPr>
      <t>根据现有</t>
    </r>
    <r>
      <rPr>
        <sz val="12"/>
        <rFont val="Times New Roman"/>
        <family val="1"/>
      </rPr>
      <t>tests</t>
    </r>
    <r>
      <rPr>
        <sz val="12"/>
        <rFont val="宋体"/>
        <family val="3"/>
        <charset val="134"/>
      </rPr>
      <t>编制</t>
    </r>
    <r>
      <rPr>
        <sz val="12"/>
        <rFont val="Times New Roman"/>
        <family val="1"/>
      </rPr>
      <t>59</t>
    </r>
    <r>
      <rPr>
        <sz val="12"/>
        <rFont val="宋体"/>
        <family val="3"/>
        <charset val="134"/>
      </rPr>
      <t>例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</si>
</sst>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yyyy\-mm\-dd"/>
    <numFmt numFmtId="179" formatCode="yyyy\.mm\.dd"/>
    <numFmt numFmtId="180" formatCode="yy\.mm\.dd"/>
  </numFmts>
  <fonts count="18" x14ac:knownFonts="1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name val="宋体"/>
      <charset val="134"/>
    </font>
    <font>
      <sz val="10"/>
      <color rgb="FF000000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sz val="12"/>
      <name val="Arial"/>
      <family val="2"/>
    </font>
    <font>
      <sz val="11"/>
      <color rgb="FF000000"/>
      <name val="宋体"/>
      <charset val="134"/>
    </font>
    <font>
      <i/>
      <sz val="11"/>
      <color indexed="10"/>
      <name val="Times New Roman"/>
      <family val="1"/>
    </font>
    <font>
      <sz val="12"/>
      <name val="宋体"/>
      <charset val="134"/>
    </font>
    <font>
      <sz val="12"/>
      <color indexed="9"/>
      <name val="Times New Roman"/>
      <family val="1"/>
    </font>
    <font>
      <sz val="11"/>
      <name val="宋体"/>
      <charset val="134"/>
    </font>
    <font>
      <sz val="9"/>
      <name val="Arial"/>
      <family val="2"/>
    </font>
    <font>
      <sz val="12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8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ont="1" applyFill="1" applyBorder="1"/>
    <xf numFmtId="0" fontId="4" fillId="0" borderId="0" xfId="0" applyFont="1"/>
    <xf numFmtId="0" fontId="5" fillId="4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49" fontId="7" fillId="5" borderId="6" xfId="0" applyNumberFormat="1" applyFont="1" applyFill="1" applyBorder="1" applyAlignment="1">
      <alignment vertical="center" wrapText="1"/>
    </xf>
    <xf numFmtId="0" fontId="9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4" fillId="0" borderId="2" xfId="0" applyFont="1" applyBorder="1"/>
    <xf numFmtId="0" fontId="4" fillId="3" borderId="1" xfId="0" applyFont="1" applyFill="1" applyBorder="1" applyAlignment="1">
      <alignment vertical="center"/>
    </xf>
    <xf numFmtId="178" fontId="4" fillId="3" borderId="1" xfId="0" applyNumberFormat="1" applyFont="1" applyFill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vertical="center"/>
    </xf>
    <xf numFmtId="2" fontId="4" fillId="3" borderId="1" xfId="0" applyNumberFormat="1" applyFont="1" applyFill="1" applyBorder="1" applyAlignment="1">
      <alignment vertical="center"/>
    </xf>
    <xf numFmtId="179" fontId="4" fillId="3" borderId="1" xfId="0" applyNumberFormat="1" applyFont="1" applyFill="1" applyBorder="1" applyAlignment="1">
      <alignment horizontal="centerContinuous"/>
    </xf>
    <xf numFmtId="49" fontId="4" fillId="3" borderId="1" xfId="0" applyNumberFormat="1" applyFont="1" applyFill="1" applyBorder="1" applyAlignment="1">
      <alignment horizontal="centerContinuous"/>
    </xf>
    <xf numFmtId="0" fontId="4" fillId="3" borderId="1" xfId="0" applyFont="1" applyFill="1" applyBorder="1" applyAlignment="1">
      <alignment horizontal="centerContinuous"/>
    </xf>
    <xf numFmtId="180" fontId="4" fillId="3" borderId="1" xfId="0" applyNumberFormat="1" applyFont="1" applyFill="1" applyBorder="1" applyAlignment="1">
      <alignment horizontal="centerContinuous"/>
    </xf>
    <xf numFmtId="0" fontId="4" fillId="0" borderId="7" xfId="0" applyFont="1" applyBorder="1"/>
    <xf numFmtId="0" fontId="4" fillId="2" borderId="1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Continuous"/>
    </xf>
    <xf numFmtId="0" fontId="4" fillId="3" borderId="9" xfId="0" applyFont="1" applyFill="1" applyBorder="1" applyAlignment="1">
      <alignment horizontal="centerContinuous"/>
    </xf>
    <xf numFmtId="179" fontId="4" fillId="3" borderId="9" xfId="0" applyNumberFormat="1" applyFont="1" applyFill="1" applyBorder="1" applyAlignment="1">
      <alignment horizontal="centerContinuous"/>
    </xf>
    <xf numFmtId="179" fontId="4" fillId="3" borderId="10" xfId="0" applyNumberFormat="1" applyFont="1" applyFill="1" applyBorder="1" applyAlignment="1">
      <alignment horizontal="centerContinuous"/>
    </xf>
    <xf numFmtId="0" fontId="4" fillId="7" borderId="0" xfId="0" applyFont="1" applyFill="1" applyAlignment="1">
      <alignment horizontal="centerContinuous"/>
    </xf>
    <xf numFmtId="179" fontId="4" fillId="7" borderId="0" xfId="0" applyNumberFormat="1" applyFont="1" applyFill="1" applyAlignment="1">
      <alignment horizontal="centerContinuous"/>
    </xf>
    <xf numFmtId="0" fontId="4" fillId="4" borderId="5" xfId="0" applyFont="1" applyFill="1" applyBorder="1" applyAlignment="1">
      <alignment horizontal="center"/>
    </xf>
    <xf numFmtId="0" fontId="4" fillId="6" borderId="5" xfId="0" applyFont="1" applyFill="1" applyBorder="1"/>
    <xf numFmtId="10" fontId="4" fillId="6" borderId="5" xfId="0" applyNumberFormat="1" applyFont="1" applyFill="1" applyBorder="1"/>
    <xf numFmtId="0" fontId="4" fillId="4" borderId="13" xfId="0" applyFont="1" applyFill="1" applyBorder="1" applyAlignment="1">
      <alignment horizontal="center"/>
    </xf>
    <xf numFmtId="0" fontId="4" fillId="6" borderId="13" xfId="0" applyFont="1" applyFill="1" applyBorder="1"/>
    <xf numFmtId="10" fontId="4" fillId="6" borderId="13" xfId="0" applyNumberFormat="1" applyFont="1" applyFill="1" applyBorder="1"/>
    <xf numFmtId="0" fontId="14" fillId="7" borderId="8" xfId="0" applyFont="1" applyFill="1" applyBorder="1" applyAlignment="1">
      <alignment horizontal="center"/>
    </xf>
    <xf numFmtId="0" fontId="14" fillId="7" borderId="11" xfId="0" applyFont="1" applyFill="1" applyBorder="1"/>
    <xf numFmtId="0" fontId="14" fillId="7" borderId="11" xfId="0" applyFont="1" applyFill="1" applyBorder="1" applyAlignment="1">
      <alignment horizontal="center"/>
    </xf>
    <xf numFmtId="10" fontId="14" fillId="7" borderId="12" xfId="0" applyNumberFormat="1" applyFont="1" applyFill="1" applyBorder="1"/>
    <xf numFmtId="0" fontId="13" fillId="4" borderId="14" xfId="0" applyFont="1" applyFill="1" applyBorder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178" fontId="4" fillId="3" borderId="1" xfId="0" applyNumberFormat="1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1" fillId="3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/>
    </xf>
    <xf numFmtId="0" fontId="13" fillId="4" borderId="8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6" borderId="15" xfId="0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0" fontId="4" fillId="6" borderId="17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98"/>
          <c:y val="3.8760910700116002E-2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endParaRPr lang="zh-CN"/>
        </a:p>
      </c:txPr>
    </c:title>
    <c:autoTitleDeleted val="0"/>
    <c:view3D>
      <c:rotX val="25"/>
      <c:hPercent val="50"/>
      <c:rotY val="0"/>
      <c:depthPercent val="10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498"/>
          <c:w val="0.65366747867659303"/>
          <c:h val="0.47288533326519899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142F-4604-AAF0-6A014E2B8E72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42F-4604-AAF0-6A014E2B8E72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42F-4604-AAF0-6A014E2B8E72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42F-4604-AAF0-6A014E2B8E72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0.95744680851063801</c:v>
                </c:pt>
                <c:pt idx="1">
                  <c:v>0</c:v>
                </c:pt>
                <c:pt idx="2">
                  <c:v>4.2553191489361701E-2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2F-4604-AAF0-6A014E2B8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296"/>
          <c:y val="0.387610734704674"/>
          <c:w val="0.97919920166229202"/>
          <c:h val="0.74808887261185397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  <a:endParaRPr lang="zh-CN"/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1fe98017-9d84-4432-a301-ba02d9b0f23d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6685" y="104775"/>
          <a:ext cx="2760345" cy="3676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tabSelected="1" topLeftCell="A12" workbookViewId="0">
      <selection activeCell="B20" sqref="B20"/>
    </sheetView>
  </sheetViews>
  <sheetFormatPr defaultColWidth="11.6328125" defaultRowHeight="15.6" x14ac:dyDescent="0.3"/>
  <cols>
    <col min="1" max="1" width="1.6328125" style="9" customWidth="1"/>
    <col min="2" max="13" width="10.6328125" style="9" customWidth="1"/>
    <col min="14" max="15" width="7.6328125" style="9" customWidth="1"/>
    <col min="16" max="16384" width="11.6328125" style="9"/>
  </cols>
  <sheetData>
    <row r="1" spans="2:12" ht="9.9" customHeight="1" x14ac:dyDescent="0.3"/>
    <row r="2" spans="2:12" ht="22.8" x14ac:dyDescent="0.4">
      <c r="B2" s="47" t="s">
        <v>0</v>
      </c>
      <c r="C2" s="47"/>
      <c r="D2" s="48"/>
      <c r="E2" s="48"/>
      <c r="F2" s="49"/>
      <c r="G2" s="49"/>
      <c r="H2" s="49"/>
      <c r="I2" s="49"/>
      <c r="J2" s="49"/>
      <c r="K2" s="49"/>
    </row>
    <row r="3" spans="2:12" x14ac:dyDescent="0.3">
      <c r="B3" s="14"/>
      <c r="C3" s="14"/>
      <c r="D3" s="14"/>
      <c r="E3" s="15"/>
      <c r="F3" s="15"/>
      <c r="G3" s="15"/>
      <c r="H3" s="15"/>
      <c r="I3" s="15"/>
      <c r="J3" s="15"/>
      <c r="K3" s="15"/>
    </row>
    <row r="4" spans="2:12" x14ac:dyDescent="0.3">
      <c r="B4" s="14"/>
      <c r="C4" s="14"/>
      <c r="D4" s="14"/>
      <c r="E4" s="14"/>
      <c r="F4" s="15"/>
      <c r="G4" s="15"/>
      <c r="H4" s="15"/>
      <c r="I4" s="15"/>
      <c r="J4" s="15"/>
      <c r="K4" s="15"/>
    </row>
    <row r="5" spans="2:12" ht="3.9" customHeight="1" x14ac:dyDescent="0.3"/>
    <row r="6" spans="2:12" ht="28.05" customHeight="1" x14ac:dyDescent="0.3">
      <c r="B6" s="50" t="s">
        <v>1</v>
      </c>
      <c r="C6" s="50"/>
      <c r="D6" s="50"/>
      <c r="E6" s="50"/>
      <c r="F6" s="50"/>
      <c r="G6" s="50"/>
      <c r="H6" s="50"/>
      <c r="I6" s="50"/>
      <c r="J6" s="50"/>
      <c r="K6" s="50"/>
      <c r="L6" s="16"/>
    </row>
    <row r="7" spans="2:12" ht="28.05" customHeight="1" x14ac:dyDescent="0.3">
      <c r="B7" s="50" t="s">
        <v>2</v>
      </c>
      <c r="C7" s="50"/>
      <c r="D7" s="50"/>
      <c r="E7" s="51"/>
      <c r="F7" s="51"/>
      <c r="G7" s="50" t="s">
        <v>3</v>
      </c>
      <c r="H7" s="50"/>
      <c r="I7" s="50"/>
      <c r="J7" s="51"/>
      <c r="K7" s="51"/>
      <c r="L7" s="16"/>
    </row>
    <row r="8" spans="2:12" ht="28.05" customHeight="1" x14ac:dyDescent="0.3">
      <c r="B8" s="50" t="s">
        <v>4</v>
      </c>
      <c r="C8" s="50"/>
      <c r="D8" s="50"/>
      <c r="E8" s="51" t="s">
        <v>5</v>
      </c>
      <c r="F8" s="51"/>
      <c r="G8" s="50" t="s">
        <v>6</v>
      </c>
      <c r="H8" s="50"/>
      <c r="I8" s="50"/>
      <c r="J8" s="51" t="s">
        <v>7</v>
      </c>
      <c r="K8" s="51"/>
      <c r="L8" s="16"/>
    </row>
    <row r="9" spans="2:12" ht="28.05" customHeight="1" x14ac:dyDescent="0.3">
      <c r="B9" s="50" t="s">
        <v>8</v>
      </c>
      <c r="C9" s="50"/>
      <c r="D9" s="50"/>
      <c r="E9" s="51"/>
      <c r="F9" s="51"/>
      <c r="G9" s="50" t="s">
        <v>9</v>
      </c>
      <c r="H9" s="50"/>
      <c r="I9" s="50"/>
      <c r="J9" s="52">
        <v>46278</v>
      </c>
      <c r="K9" s="51"/>
      <c r="L9" s="16"/>
    </row>
    <row r="10" spans="2:12" ht="28.05" customHeight="1" x14ac:dyDescent="0.3">
      <c r="B10" s="50" t="s">
        <v>10</v>
      </c>
      <c r="C10" s="50"/>
      <c r="D10" s="50"/>
      <c r="E10" s="51"/>
      <c r="F10" s="51"/>
      <c r="G10" s="50" t="s">
        <v>9</v>
      </c>
      <c r="H10" s="50"/>
      <c r="I10" s="50"/>
      <c r="J10" s="51"/>
      <c r="K10" s="51"/>
      <c r="L10" s="16"/>
    </row>
    <row r="11" spans="2:12" ht="28.05" customHeight="1" x14ac:dyDescent="0.3">
      <c r="B11" s="50" t="s">
        <v>11</v>
      </c>
      <c r="C11" s="50"/>
      <c r="D11" s="50"/>
      <c r="E11" s="51"/>
      <c r="F11" s="51"/>
      <c r="G11" s="50" t="s">
        <v>9</v>
      </c>
      <c r="H11" s="50"/>
      <c r="I11" s="50"/>
      <c r="J11" s="51"/>
      <c r="K11" s="51"/>
      <c r="L11" s="16"/>
    </row>
    <row r="12" spans="2:12" ht="28.05" customHeight="1" x14ac:dyDescent="0.3">
      <c r="B12" s="19"/>
      <c r="C12" s="19"/>
      <c r="D12" s="19"/>
      <c r="E12" s="19"/>
      <c r="F12" s="19"/>
      <c r="G12" s="19"/>
      <c r="H12" s="19"/>
      <c r="I12" s="19"/>
      <c r="J12" s="19"/>
      <c r="K12" s="19"/>
    </row>
    <row r="13" spans="2:12" ht="28.05" customHeight="1" x14ac:dyDescent="0.3">
      <c r="B13" s="50" t="s">
        <v>12</v>
      </c>
      <c r="C13" s="50"/>
      <c r="D13" s="50"/>
      <c r="E13" s="53">
        <f>COUNTA('Test Cases测试用例'!A2:A95)</f>
        <v>94</v>
      </c>
      <c r="F13" s="54"/>
      <c r="G13" s="55"/>
      <c r="H13" s="55"/>
      <c r="I13" s="55"/>
      <c r="J13" s="55"/>
      <c r="K13" s="55"/>
    </row>
    <row r="14" spans="2:12" ht="3.9" customHeight="1" x14ac:dyDescent="0.3">
      <c r="B14" s="19"/>
      <c r="C14" s="19"/>
      <c r="D14" s="19"/>
      <c r="E14" s="19"/>
      <c r="F14" s="20"/>
      <c r="G14" s="20"/>
      <c r="H14" s="20"/>
      <c r="I14" s="20"/>
      <c r="J14" s="20"/>
      <c r="K14" s="20"/>
    </row>
    <row r="15" spans="2:12" x14ac:dyDescent="0.3">
      <c r="B15" s="50" t="s">
        <v>13</v>
      </c>
      <c r="C15" s="50"/>
      <c r="D15" s="50"/>
      <c r="E15" s="50"/>
      <c r="F15" s="50"/>
      <c r="G15" s="50"/>
      <c r="H15" s="50"/>
      <c r="I15" s="50"/>
      <c r="J15" s="50"/>
      <c r="K15" s="50"/>
      <c r="L15" s="16"/>
    </row>
    <row r="16" spans="2:12" ht="90" customHeight="1" x14ac:dyDescent="0.3">
      <c r="B16" s="56" t="s">
        <v>14</v>
      </c>
      <c r="C16" s="57"/>
      <c r="D16" s="58"/>
      <c r="E16" s="58"/>
      <c r="F16" s="58"/>
      <c r="G16" s="58"/>
      <c r="H16" s="58"/>
      <c r="I16" s="58"/>
      <c r="J16" s="58"/>
      <c r="K16" s="58"/>
      <c r="L16" s="16"/>
    </row>
    <row r="17" spans="2:12" ht="3.9" customHeight="1" x14ac:dyDescent="0.3"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8" spans="2:12" x14ac:dyDescent="0.3">
      <c r="B18" s="50" t="s">
        <v>15</v>
      </c>
      <c r="C18" s="50"/>
      <c r="D18" s="50"/>
      <c r="E18" s="50"/>
      <c r="F18" s="50"/>
      <c r="G18" s="50"/>
      <c r="H18" s="50"/>
      <c r="I18" s="50"/>
      <c r="J18" s="50"/>
      <c r="K18" s="50"/>
      <c r="L18" s="16"/>
    </row>
    <row r="19" spans="2:12" ht="48" customHeight="1" x14ac:dyDescent="0.3">
      <c r="B19" s="21" t="s">
        <v>16</v>
      </c>
      <c r="C19" s="21" t="s">
        <v>17</v>
      </c>
      <c r="D19" s="21" t="s">
        <v>18</v>
      </c>
      <c r="E19" s="59" t="s">
        <v>19</v>
      </c>
      <c r="F19" s="59"/>
      <c r="G19" s="59"/>
      <c r="H19" s="59"/>
      <c r="I19" s="59"/>
      <c r="J19" s="59"/>
      <c r="K19" s="21" t="s">
        <v>20</v>
      </c>
      <c r="L19" s="16"/>
    </row>
    <row r="20" spans="2:12" ht="31.95" customHeight="1" x14ac:dyDescent="0.3">
      <c r="B20" s="18">
        <v>46276</v>
      </c>
      <c r="C20" s="22" t="s">
        <v>21</v>
      </c>
      <c r="D20" s="17"/>
      <c r="E20" s="58" t="s">
        <v>479</v>
      </c>
      <c r="F20" s="51"/>
      <c r="G20" s="51"/>
      <c r="H20" s="51"/>
      <c r="I20" s="51"/>
      <c r="J20" s="51"/>
      <c r="K20" s="17"/>
      <c r="L20" s="16"/>
    </row>
    <row r="21" spans="2:12" ht="60" customHeight="1" x14ac:dyDescent="0.3">
      <c r="B21" s="18">
        <v>46279</v>
      </c>
      <c r="C21" s="23">
        <v>1.1000000000000001</v>
      </c>
      <c r="D21" s="17"/>
      <c r="E21" s="58" t="s">
        <v>22</v>
      </c>
      <c r="F21" s="58"/>
      <c r="G21" s="58"/>
      <c r="H21" s="58"/>
      <c r="I21" s="58"/>
      <c r="J21" s="58"/>
      <c r="K21" s="17"/>
      <c r="L21" s="16"/>
    </row>
    <row r="22" spans="2:12" x14ac:dyDescent="0.3">
      <c r="B22" s="24"/>
      <c r="C22" s="25"/>
      <c r="D22" s="26"/>
      <c r="E22" s="26"/>
      <c r="F22" s="26"/>
      <c r="G22" s="26"/>
      <c r="H22" s="26"/>
      <c r="I22" s="26"/>
      <c r="J22" s="26"/>
      <c r="K22" s="26"/>
      <c r="L22" s="16"/>
    </row>
    <row r="23" spans="2:12" x14ac:dyDescent="0.3">
      <c r="B23" s="24"/>
      <c r="C23" s="25"/>
      <c r="D23" s="26"/>
      <c r="E23" s="26"/>
      <c r="F23" s="26"/>
      <c r="G23" s="26"/>
      <c r="H23" s="26"/>
      <c r="I23" s="26"/>
      <c r="J23" s="26"/>
      <c r="K23" s="26"/>
      <c r="L23" s="16"/>
    </row>
    <row r="24" spans="2:12" x14ac:dyDescent="0.3">
      <c r="B24" s="24"/>
      <c r="C24" s="25"/>
      <c r="D24" s="27"/>
      <c r="E24" s="26"/>
      <c r="F24" s="26"/>
      <c r="G24" s="26"/>
      <c r="H24" s="26"/>
      <c r="I24" s="26"/>
      <c r="J24" s="26"/>
      <c r="K24" s="26"/>
      <c r="L24" s="16"/>
    </row>
    <row r="25" spans="2:12" x14ac:dyDescent="0.3">
      <c r="B25" s="24"/>
      <c r="C25" s="25"/>
      <c r="D25" s="26"/>
      <c r="E25" s="26"/>
      <c r="F25" s="26"/>
      <c r="G25" s="26"/>
      <c r="H25" s="26"/>
      <c r="I25" s="26"/>
      <c r="J25" s="26"/>
      <c r="K25" s="26"/>
      <c r="L25" s="16"/>
    </row>
    <row r="26" spans="2:12" ht="3.9" customHeight="1" x14ac:dyDescent="0.3">
      <c r="B26" s="28"/>
      <c r="C26" s="28"/>
      <c r="D26" s="28"/>
      <c r="E26" s="28"/>
      <c r="F26" s="28"/>
      <c r="G26" s="28"/>
      <c r="H26" s="28"/>
      <c r="I26" s="28"/>
      <c r="J26" s="28"/>
      <c r="K26" s="28"/>
    </row>
    <row r="27" spans="2:12" x14ac:dyDescent="0.3">
      <c r="B27" s="60" t="s">
        <v>23</v>
      </c>
      <c r="C27" s="60"/>
      <c r="D27" s="60"/>
      <c r="E27" s="60"/>
      <c r="F27" s="60"/>
      <c r="G27" s="60"/>
      <c r="H27" s="60"/>
      <c r="I27" s="60"/>
      <c r="J27" s="60"/>
      <c r="K27" s="60"/>
      <c r="L27" s="16"/>
    </row>
    <row r="28" spans="2:12" x14ac:dyDescent="0.3">
      <c r="B28" s="29" t="s">
        <v>24</v>
      </c>
      <c r="C28" s="60" t="s">
        <v>25</v>
      </c>
      <c r="D28" s="60"/>
      <c r="E28" s="60"/>
      <c r="F28" s="60"/>
      <c r="G28" s="60"/>
      <c r="H28" s="60"/>
      <c r="I28" s="60"/>
      <c r="J28" s="60" t="s">
        <v>26</v>
      </c>
      <c r="K28" s="60"/>
      <c r="L28" s="16"/>
    </row>
    <row r="29" spans="2:12" x14ac:dyDescent="0.3">
      <c r="B29" s="26">
        <v>1</v>
      </c>
      <c r="C29" s="26"/>
      <c r="D29" s="26"/>
      <c r="E29" s="26"/>
      <c r="F29" s="26"/>
      <c r="G29" s="26"/>
      <c r="H29" s="26"/>
      <c r="I29" s="26"/>
      <c r="J29" s="24"/>
      <c r="K29" s="24"/>
      <c r="L29" s="16"/>
    </row>
    <row r="30" spans="2:12" x14ac:dyDescent="0.3">
      <c r="B30" s="26">
        <v>2</v>
      </c>
      <c r="C30" s="26"/>
      <c r="D30" s="26"/>
      <c r="E30" s="26"/>
      <c r="F30" s="26"/>
      <c r="G30" s="26"/>
      <c r="H30" s="26"/>
      <c r="I30" s="26"/>
      <c r="J30" s="24"/>
      <c r="K30" s="24"/>
      <c r="L30" s="16"/>
    </row>
    <row r="31" spans="2:12" x14ac:dyDescent="0.3">
      <c r="B31" s="26">
        <v>3</v>
      </c>
      <c r="C31" s="26"/>
      <c r="D31" s="26"/>
      <c r="E31" s="26"/>
      <c r="F31" s="26"/>
      <c r="G31" s="26"/>
      <c r="H31" s="26"/>
      <c r="I31" s="26"/>
      <c r="J31" s="24"/>
      <c r="K31" s="24"/>
      <c r="L31" s="16"/>
    </row>
    <row r="32" spans="2:12" x14ac:dyDescent="0.3">
      <c r="B32" s="26">
        <v>4</v>
      </c>
      <c r="C32" s="26"/>
      <c r="D32" s="26"/>
      <c r="E32" s="26"/>
      <c r="F32" s="26"/>
      <c r="G32" s="26"/>
      <c r="H32" s="26"/>
      <c r="I32" s="26"/>
      <c r="J32" s="24"/>
      <c r="K32" s="24"/>
      <c r="L32" s="16"/>
    </row>
    <row r="33" spans="2:11" x14ac:dyDescent="0.3">
      <c r="B33" s="30">
        <v>5</v>
      </c>
      <c r="C33" s="31"/>
      <c r="D33" s="31"/>
      <c r="E33" s="31"/>
      <c r="F33" s="31"/>
      <c r="G33" s="31"/>
      <c r="H33" s="31"/>
      <c r="I33" s="31"/>
      <c r="J33" s="32"/>
      <c r="K33" s="33"/>
    </row>
    <row r="34" spans="2:11" x14ac:dyDescent="0.3">
      <c r="B34" s="34"/>
      <c r="C34" s="34"/>
      <c r="D34" s="34"/>
      <c r="E34" s="34"/>
      <c r="F34" s="34"/>
      <c r="G34" s="34"/>
      <c r="H34" s="34"/>
      <c r="I34" s="34"/>
      <c r="J34" s="35"/>
      <c r="K34" s="35"/>
    </row>
    <row r="37" spans="2:11" ht="15" customHeight="1" x14ac:dyDescent="0.3">
      <c r="B37" s="61" t="s">
        <v>27</v>
      </c>
      <c r="C37" s="62"/>
      <c r="D37" s="62"/>
      <c r="E37" s="63"/>
    </row>
    <row r="38" spans="2:11" x14ac:dyDescent="0.3">
      <c r="B38" s="36" t="s">
        <v>28</v>
      </c>
      <c r="C38" s="37">
        <f>COUNTIF('Test Cases测试用例'!$L$2:$L$95,"OK")</f>
        <v>90</v>
      </c>
      <c r="D38" s="36" t="s">
        <v>29</v>
      </c>
      <c r="E38" s="38">
        <f>IF(E13=0,0,C38/E13)</f>
        <v>0.95744680851063801</v>
      </c>
    </row>
    <row r="39" spans="2:11" x14ac:dyDescent="0.3">
      <c r="B39" s="36" t="s">
        <v>30</v>
      </c>
      <c r="C39" s="37">
        <f>COUNTIF('Test Cases测试用例'!$L$2:$L$95,"POK")</f>
        <v>0</v>
      </c>
      <c r="D39" s="36" t="s">
        <v>31</v>
      </c>
      <c r="E39" s="38">
        <f>IF(E13=0,0,C39/E13)</f>
        <v>0</v>
      </c>
    </row>
    <row r="40" spans="2:11" x14ac:dyDescent="0.3">
      <c r="B40" s="36" t="s">
        <v>32</v>
      </c>
      <c r="C40" s="37">
        <f>COUNTIF('Test Cases测试用例'!$L$2:$L$95,"NG")</f>
        <v>4</v>
      </c>
      <c r="D40" s="36" t="s">
        <v>33</v>
      </c>
      <c r="E40" s="38">
        <f>IF(E13=0,0,C40/E13)</f>
        <v>4.2553191489361701E-2</v>
      </c>
    </row>
    <row r="41" spans="2:11" x14ac:dyDescent="0.3">
      <c r="B41" s="39" t="s">
        <v>34</v>
      </c>
      <c r="C41" s="40">
        <f>COUNTIF('Test Cases测试用例'!$L$2:$L$95,"NT")</f>
        <v>0</v>
      </c>
      <c r="D41" s="39" t="s">
        <v>35</v>
      </c>
      <c r="E41" s="41">
        <f>IF(E13=0,0,C41/E13)</f>
        <v>0</v>
      </c>
    </row>
    <row r="42" spans="2:11" ht="3" customHeight="1" x14ac:dyDescent="0.3">
      <c r="B42" s="42"/>
      <c r="C42" s="43"/>
      <c r="D42" s="44"/>
      <c r="E42" s="45"/>
    </row>
    <row r="43" spans="2:11" ht="16.2" x14ac:dyDescent="0.3">
      <c r="B43" s="46" t="s">
        <v>36</v>
      </c>
      <c r="C43" s="64">
        <f>E13</f>
        <v>94</v>
      </c>
      <c r="D43" s="65"/>
      <c r="E43" s="66"/>
    </row>
  </sheetData>
  <mergeCells count="35">
    <mergeCell ref="B37:E37"/>
    <mergeCell ref="C43:E43"/>
    <mergeCell ref="E19:J19"/>
    <mergeCell ref="E20:J20"/>
    <mergeCell ref="E21:J21"/>
    <mergeCell ref="B27:K27"/>
    <mergeCell ref="C28:I28"/>
    <mergeCell ref="J28:K28"/>
    <mergeCell ref="B13:D13"/>
    <mergeCell ref="E13:K13"/>
    <mergeCell ref="B15:K15"/>
    <mergeCell ref="B16:K16"/>
    <mergeCell ref="B18:K18"/>
    <mergeCell ref="B10:D10"/>
    <mergeCell ref="E10:F10"/>
    <mergeCell ref="G10:I10"/>
    <mergeCell ref="J10:K10"/>
    <mergeCell ref="B11:D11"/>
    <mergeCell ref="E11:F11"/>
    <mergeCell ref="G11:I11"/>
    <mergeCell ref="J11:K11"/>
    <mergeCell ref="B8:D8"/>
    <mergeCell ref="E8:F8"/>
    <mergeCell ref="G8:I8"/>
    <mergeCell ref="J8:K8"/>
    <mergeCell ref="B9:D9"/>
    <mergeCell ref="E9:F9"/>
    <mergeCell ref="G9:I9"/>
    <mergeCell ref="J9:K9"/>
    <mergeCell ref="B2:K2"/>
    <mergeCell ref="B6:K6"/>
    <mergeCell ref="B7:D7"/>
    <mergeCell ref="E7:F7"/>
    <mergeCell ref="G7:I7"/>
    <mergeCell ref="J7:K7"/>
  </mergeCells>
  <phoneticPr fontId="16" type="noConversion"/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EJ95"/>
  <sheetViews>
    <sheetView showGridLines="0" workbookViewId="0">
      <pane ySplit="1" topLeftCell="A2" activePane="bottomLeft" state="frozen"/>
      <selection pane="bottomLeft"/>
    </sheetView>
  </sheetViews>
  <sheetFormatPr defaultColWidth="11.6328125" defaultRowHeight="15.6" x14ac:dyDescent="0.3"/>
  <cols>
    <col min="1" max="1" width="19" style="8" customWidth="1"/>
    <col min="2" max="2" width="23" style="8" customWidth="1"/>
    <col min="3" max="3" width="26.81640625" style="8" customWidth="1"/>
    <col min="4" max="4" width="21" style="8" customWidth="1"/>
    <col min="5" max="5" width="13.90625" style="8" hidden="1" customWidth="1"/>
    <col min="6" max="6" width="8.90625" style="8" hidden="1" customWidth="1"/>
    <col min="7" max="7" width="21.1796875" style="8" customWidth="1"/>
    <col min="8" max="8" width="31" style="8" customWidth="1"/>
    <col min="9" max="9" width="29" style="8" customWidth="1"/>
    <col min="10" max="11" width="31" style="8" customWidth="1"/>
    <col min="12" max="12" width="11" style="8" customWidth="1"/>
    <col min="13" max="13" width="40" style="8" customWidth="1"/>
    <col min="14" max="14" width="3.453125" style="9" hidden="1" customWidth="1"/>
    <col min="15" max="16384" width="11.6328125" style="9"/>
  </cols>
  <sheetData>
    <row r="1" spans="1:140" ht="58.05" customHeight="1" x14ac:dyDescent="0.3">
      <c r="A1" s="10" t="s">
        <v>37</v>
      </c>
      <c r="B1" s="10" t="s">
        <v>38</v>
      </c>
      <c r="C1" s="10" t="s">
        <v>39</v>
      </c>
      <c r="D1" s="10" t="s">
        <v>40</v>
      </c>
      <c r="E1" s="11" t="s">
        <v>41</v>
      </c>
      <c r="F1" s="11" t="s">
        <v>42</v>
      </c>
      <c r="G1" s="10" t="s">
        <v>43</v>
      </c>
      <c r="H1" s="10" t="s">
        <v>44</v>
      </c>
      <c r="I1" s="10" t="s">
        <v>45</v>
      </c>
      <c r="J1" s="10" t="s">
        <v>46</v>
      </c>
      <c r="K1" s="10" t="s">
        <v>47</v>
      </c>
      <c r="L1" s="10" t="s">
        <v>48</v>
      </c>
      <c r="M1" s="10" t="s">
        <v>49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</row>
    <row r="2" spans="1:140" ht="78" customHeight="1" x14ac:dyDescent="0.3">
      <c r="A2" s="13" t="s">
        <v>50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56</v>
      </c>
      <c r="H2" s="13" t="s">
        <v>57</v>
      </c>
      <c r="I2" s="13" t="s">
        <v>58</v>
      </c>
      <c r="J2" s="13" t="s">
        <v>59</v>
      </c>
      <c r="K2" s="13" t="s">
        <v>59</v>
      </c>
      <c r="L2" s="13" t="s">
        <v>60</v>
      </c>
      <c r="M2" s="13" t="s">
        <v>61</v>
      </c>
      <c r="N2" s="9" t="s">
        <v>60</v>
      </c>
    </row>
    <row r="3" spans="1:140" ht="78" customHeight="1" x14ac:dyDescent="0.3">
      <c r="A3" s="13" t="s">
        <v>62</v>
      </c>
      <c r="B3" s="13" t="s">
        <v>51</v>
      </c>
      <c r="C3" s="13" t="s">
        <v>63</v>
      </c>
      <c r="D3" s="13" t="s">
        <v>53</v>
      </c>
      <c r="E3" s="13" t="s">
        <v>54</v>
      </c>
      <c r="F3" s="13" t="s">
        <v>55</v>
      </c>
      <c r="G3" s="13" t="s">
        <v>56</v>
      </c>
      <c r="H3" s="13" t="s">
        <v>57</v>
      </c>
      <c r="I3" s="13" t="s">
        <v>58</v>
      </c>
      <c r="J3" s="13" t="s">
        <v>59</v>
      </c>
      <c r="K3" s="13" t="s">
        <v>59</v>
      </c>
      <c r="L3" s="13" t="s">
        <v>60</v>
      </c>
      <c r="M3" s="13" t="s">
        <v>64</v>
      </c>
      <c r="N3" s="9" t="s">
        <v>65</v>
      </c>
    </row>
    <row r="4" spans="1:140" ht="78" customHeight="1" x14ac:dyDescent="0.3">
      <c r="A4" s="13" t="s">
        <v>66</v>
      </c>
      <c r="B4" s="13" t="s">
        <v>51</v>
      </c>
      <c r="C4" s="13" t="s">
        <v>67</v>
      </c>
      <c r="D4" s="13" t="s">
        <v>53</v>
      </c>
      <c r="E4" s="13" t="s">
        <v>54</v>
      </c>
      <c r="F4" s="13" t="s">
        <v>55</v>
      </c>
      <c r="G4" s="13" t="s">
        <v>56</v>
      </c>
      <c r="H4" s="13" t="s">
        <v>68</v>
      </c>
      <c r="I4" s="13" t="s">
        <v>58</v>
      </c>
      <c r="J4" s="13" t="s">
        <v>59</v>
      </c>
      <c r="K4" s="13" t="s">
        <v>59</v>
      </c>
      <c r="L4" s="13" t="s">
        <v>60</v>
      </c>
      <c r="M4" s="13" t="s">
        <v>69</v>
      </c>
      <c r="N4" s="9" t="s">
        <v>70</v>
      </c>
    </row>
    <row r="5" spans="1:140" ht="78" customHeight="1" x14ac:dyDescent="0.3">
      <c r="A5" s="13" t="s">
        <v>71</v>
      </c>
      <c r="B5" s="13" t="s">
        <v>51</v>
      </c>
      <c r="C5" s="13" t="s">
        <v>72</v>
      </c>
      <c r="D5" s="13" t="s">
        <v>53</v>
      </c>
      <c r="E5" s="13" t="s">
        <v>54</v>
      </c>
      <c r="F5" s="13" t="s">
        <v>55</v>
      </c>
      <c r="G5" s="13" t="s">
        <v>56</v>
      </c>
      <c r="H5" s="13" t="s">
        <v>73</v>
      </c>
      <c r="I5" s="13" t="s">
        <v>58</v>
      </c>
      <c r="J5" s="13" t="s">
        <v>74</v>
      </c>
      <c r="K5" s="13" t="s">
        <v>74</v>
      </c>
      <c r="L5" s="13" t="s">
        <v>60</v>
      </c>
      <c r="M5" s="13" t="s">
        <v>75</v>
      </c>
      <c r="N5" s="9" t="s">
        <v>76</v>
      </c>
    </row>
    <row r="6" spans="1:140" ht="78" customHeight="1" x14ac:dyDescent="0.3">
      <c r="A6" s="13" t="s">
        <v>77</v>
      </c>
      <c r="B6" s="13" t="s">
        <v>51</v>
      </c>
      <c r="C6" s="13" t="s">
        <v>78</v>
      </c>
      <c r="D6" s="13" t="s">
        <v>53</v>
      </c>
      <c r="E6" s="13" t="s">
        <v>54</v>
      </c>
      <c r="F6" s="13" t="s">
        <v>55</v>
      </c>
      <c r="G6" s="13" t="s">
        <v>56</v>
      </c>
      <c r="H6" s="13" t="s">
        <v>79</v>
      </c>
      <c r="I6" s="13" t="s">
        <v>58</v>
      </c>
      <c r="J6" s="13" t="s">
        <v>80</v>
      </c>
      <c r="K6" s="13" t="s">
        <v>80</v>
      </c>
      <c r="L6" s="13" t="s">
        <v>60</v>
      </c>
      <c r="M6" s="13" t="s">
        <v>81</v>
      </c>
    </row>
    <row r="7" spans="1:140" ht="78" customHeight="1" x14ac:dyDescent="0.3">
      <c r="A7" s="13" t="s">
        <v>82</v>
      </c>
      <c r="B7" s="13" t="s">
        <v>51</v>
      </c>
      <c r="C7" s="13" t="s">
        <v>83</v>
      </c>
      <c r="D7" s="13" t="s">
        <v>53</v>
      </c>
      <c r="E7" s="13" t="s">
        <v>54</v>
      </c>
      <c r="F7" s="13" t="s">
        <v>55</v>
      </c>
      <c r="G7" s="13" t="s">
        <v>56</v>
      </c>
      <c r="H7" s="13" t="s">
        <v>84</v>
      </c>
      <c r="I7" s="13" t="s">
        <v>58</v>
      </c>
      <c r="J7" s="13" t="s">
        <v>85</v>
      </c>
      <c r="K7" s="13" t="s">
        <v>85</v>
      </c>
      <c r="L7" s="13" t="s">
        <v>60</v>
      </c>
      <c r="M7" s="13" t="s">
        <v>86</v>
      </c>
    </row>
    <row r="8" spans="1:140" ht="78" customHeight="1" x14ac:dyDescent="0.3">
      <c r="A8" s="13" t="s">
        <v>87</v>
      </c>
      <c r="B8" s="13" t="s">
        <v>51</v>
      </c>
      <c r="C8" s="13" t="s">
        <v>88</v>
      </c>
      <c r="D8" s="13" t="s">
        <v>53</v>
      </c>
      <c r="E8" s="13" t="s">
        <v>54</v>
      </c>
      <c r="F8" s="13" t="s">
        <v>55</v>
      </c>
      <c r="G8" s="13" t="s">
        <v>56</v>
      </c>
      <c r="H8" s="13" t="s">
        <v>89</v>
      </c>
      <c r="I8" s="13" t="s">
        <v>58</v>
      </c>
      <c r="J8" s="13" t="s">
        <v>90</v>
      </c>
      <c r="K8" s="13" t="s">
        <v>90</v>
      </c>
      <c r="L8" s="13" t="s">
        <v>60</v>
      </c>
      <c r="M8" s="13" t="s">
        <v>91</v>
      </c>
    </row>
    <row r="9" spans="1:140" ht="78" customHeight="1" x14ac:dyDescent="0.3">
      <c r="A9" s="13" t="s">
        <v>92</v>
      </c>
      <c r="B9" s="13" t="s">
        <v>51</v>
      </c>
      <c r="C9" s="13" t="s">
        <v>93</v>
      </c>
      <c r="D9" s="13" t="s">
        <v>53</v>
      </c>
      <c r="E9" s="13" t="s">
        <v>54</v>
      </c>
      <c r="F9" s="13" t="s">
        <v>55</v>
      </c>
      <c r="G9" s="13" t="s">
        <v>56</v>
      </c>
      <c r="H9" s="13" t="s">
        <v>94</v>
      </c>
      <c r="I9" s="13" t="s">
        <v>58</v>
      </c>
      <c r="J9" s="13" t="s">
        <v>95</v>
      </c>
      <c r="K9" s="13" t="s">
        <v>95</v>
      </c>
      <c r="L9" s="13" t="s">
        <v>60</v>
      </c>
      <c r="M9" s="13" t="s">
        <v>96</v>
      </c>
    </row>
    <row r="10" spans="1:140" ht="78" customHeight="1" x14ac:dyDescent="0.3">
      <c r="A10" s="13" t="s">
        <v>97</v>
      </c>
      <c r="B10" s="13" t="s">
        <v>51</v>
      </c>
      <c r="C10" s="13" t="s">
        <v>98</v>
      </c>
      <c r="D10" s="13" t="s">
        <v>53</v>
      </c>
      <c r="E10" s="13" t="s">
        <v>54</v>
      </c>
      <c r="F10" s="13" t="s">
        <v>55</v>
      </c>
      <c r="G10" s="13" t="s">
        <v>56</v>
      </c>
      <c r="H10" s="13" t="s">
        <v>99</v>
      </c>
      <c r="I10" s="13" t="s">
        <v>58</v>
      </c>
      <c r="J10" s="13" t="s">
        <v>100</v>
      </c>
      <c r="K10" s="13" t="s">
        <v>100</v>
      </c>
      <c r="L10" s="13" t="s">
        <v>60</v>
      </c>
      <c r="M10" s="13" t="s">
        <v>101</v>
      </c>
    </row>
    <row r="11" spans="1:140" ht="78" customHeight="1" x14ac:dyDescent="0.3">
      <c r="A11" s="13" t="s">
        <v>102</v>
      </c>
      <c r="B11" s="13" t="s">
        <v>51</v>
      </c>
      <c r="C11" s="13" t="s">
        <v>103</v>
      </c>
      <c r="D11" s="13" t="s">
        <v>53</v>
      </c>
      <c r="E11" s="13" t="s">
        <v>54</v>
      </c>
      <c r="F11" s="13" t="s">
        <v>55</v>
      </c>
      <c r="G11" s="13" t="s">
        <v>56</v>
      </c>
      <c r="H11" s="13" t="s">
        <v>104</v>
      </c>
      <c r="I11" s="13" t="s">
        <v>58</v>
      </c>
      <c r="J11" s="13" t="s">
        <v>100</v>
      </c>
      <c r="K11" s="13" t="s">
        <v>100</v>
      </c>
      <c r="L11" s="13" t="s">
        <v>60</v>
      </c>
      <c r="M11" s="13" t="s">
        <v>105</v>
      </c>
    </row>
    <row r="12" spans="1:140" ht="78" customHeight="1" x14ac:dyDescent="0.3">
      <c r="A12" s="13" t="s">
        <v>106</v>
      </c>
      <c r="B12" s="13" t="s">
        <v>51</v>
      </c>
      <c r="C12" s="13" t="s">
        <v>107</v>
      </c>
      <c r="D12" s="13" t="s">
        <v>53</v>
      </c>
      <c r="E12" s="13" t="s">
        <v>54</v>
      </c>
      <c r="F12" s="13" t="s">
        <v>55</v>
      </c>
      <c r="G12" s="13" t="s">
        <v>56</v>
      </c>
      <c r="H12" s="13" t="s">
        <v>108</v>
      </c>
      <c r="I12" s="13" t="s">
        <v>58</v>
      </c>
      <c r="J12" s="13" t="s">
        <v>109</v>
      </c>
      <c r="K12" s="13" t="s">
        <v>109</v>
      </c>
      <c r="L12" s="13" t="s">
        <v>60</v>
      </c>
      <c r="M12" s="13" t="s">
        <v>110</v>
      </c>
    </row>
    <row r="13" spans="1:140" ht="78" customHeight="1" x14ac:dyDescent="0.3">
      <c r="A13" s="13" t="s">
        <v>111</v>
      </c>
      <c r="B13" s="13" t="s">
        <v>51</v>
      </c>
      <c r="C13" s="13" t="s">
        <v>112</v>
      </c>
      <c r="D13" s="13" t="s">
        <v>53</v>
      </c>
      <c r="E13" s="13" t="s">
        <v>54</v>
      </c>
      <c r="F13" s="13" t="s">
        <v>55</v>
      </c>
      <c r="G13" s="13" t="s">
        <v>56</v>
      </c>
      <c r="H13" s="13" t="s">
        <v>113</v>
      </c>
      <c r="I13" s="13" t="s">
        <v>58</v>
      </c>
      <c r="J13" s="13" t="s">
        <v>114</v>
      </c>
      <c r="K13" s="13" t="s">
        <v>114</v>
      </c>
      <c r="L13" s="13" t="s">
        <v>60</v>
      </c>
      <c r="M13" s="13" t="s">
        <v>115</v>
      </c>
    </row>
    <row r="14" spans="1:140" ht="78" customHeight="1" x14ac:dyDescent="0.3">
      <c r="A14" s="13" t="s">
        <v>116</v>
      </c>
      <c r="B14" s="13" t="s">
        <v>51</v>
      </c>
      <c r="C14" s="13" t="s">
        <v>117</v>
      </c>
      <c r="D14" s="13" t="s">
        <v>53</v>
      </c>
      <c r="E14" s="13" t="s">
        <v>54</v>
      </c>
      <c r="F14" s="13" t="s">
        <v>55</v>
      </c>
      <c r="G14" s="13" t="s">
        <v>56</v>
      </c>
      <c r="H14" s="13" t="s">
        <v>118</v>
      </c>
      <c r="I14" s="13" t="s">
        <v>58</v>
      </c>
      <c r="J14" s="13" t="s">
        <v>109</v>
      </c>
      <c r="K14" s="13" t="s">
        <v>109</v>
      </c>
      <c r="L14" s="13" t="s">
        <v>60</v>
      </c>
      <c r="M14" s="13" t="s">
        <v>119</v>
      </c>
    </row>
    <row r="15" spans="1:140" ht="78" customHeight="1" x14ac:dyDescent="0.3">
      <c r="A15" s="13" t="s">
        <v>120</v>
      </c>
      <c r="B15" s="13" t="s">
        <v>51</v>
      </c>
      <c r="C15" s="13" t="s">
        <v>121</v>
      </c>
      <c r="D15" s="13" t="s">
        <v>53</v>
      </c>
      <c r="E15" s="13" t="s">
        <v>54</v>
      </c>
      <c r="F15" s="13" t="s">
        <v>55</v>
      </c>
      <c r="G15" s="13" t="s">
        <v>56</v>
      </c>
      <c r="H15" s="13" t="s">
        <v>122</v>
      </c>
      <c r="I15" s="13" t="s">
        <v>58</v>
      </c>
      <c r="J15" s="13" t="s">
        <v>123</v>
      </c>
      <c r="K15" s="13" t="s">
        <v>123</v>
      </c>
      <c r="L15" s="13" t="s">
        <v>60</v>
      </c>
      <c r="M15" s="13" t="s">
        <v>124</v>
      </c>
    </row>
    <row r="16" spans="1:140" ht="78" customHeight="1" x14ac:dyDescent="0.3">
      <c r="A16" s="13" t="s">
        <v>125</v>
      </c>
      <c r="B16" s="13" t="s">
        <v>51</v>
      </c>
      <c r="C16" s="13" t="s">
        <v>126</v>
      </c>
      <c r="D16" s="13" t="s">
        <v>53</v>
      </c>
      <c r="E16" s="13" t="s">
        <v>54</v>
      </c>
      <c r="F16" s="13" t="s">
        <v>55</v>
      </c>
      <c r="G16" s="13" t="s">
        <v>56</v>
      </c>
      <c r="H16" s="13" t="s">
        <v>127</v>
      </c>
      <c r="I16" s="13" t="s">
        <v>58</v>
      </c>
      <c r="J16" s="13" t="s">
        <v>128</v>
      </c>
      <c r="K16" s="13" t="s">
        <v>128</v>
      </c>
      <c r="L16" s="13" t="s">
        <v>60</v>
      </c>
      <c r="M16" s="13" t="s">
        <v>129</v>
      </c>
    </row>
    <row r="17" spans="1:13" ht="78" customHeight="1" x14ac:dyDescent="0.3">
      <c r="A17" s="13" t="s">
        <v>130</v>
      </c>
      <c r="B17" s="13" t="s">
        <v>51</v>
      </c>
      <c r="C17" s="13" t="s">
        <v>131</v>
      </c>
      <c r="D17" s="13" t="s">
        <v>53</v>
      </c>
      <c r="E17" s="13" t="s">
        <v>54</v>
      </c>
      <c r="F17" s="13" t="s">
        <v>55</v>
      </c>
      <c r="G17" s="13" t="s">
        <v>56</v>
      </c>
      <c r="H17" s="13" t="s">
        <v>132</v>
      </c>
      <c r="I17" s="13" t="s">
        <v>58</v>
      </c>
      <c r="J17" s="13" t="s">
        <v>133</v>
      </c>
      <c r="K17" s="13" t="s">
        <v>133</v>
      </c>
      <c r="L17" s="13" t="s">
        <v>60</v>
      </c>
      <c r="M17" s="13" t="s">
        <v>134</v>
      </c>
    </row>
    <row r="18" spans="1:13" ht="78" customHeight="1" x14ac:dyDescent="0.3">
      <c r="A18" s="13" t="s">
        <v>135</v>
      </c>
      <c r="B18" s="13" t="s">
        <v>51</v>
      </c>
      <c r="C18" s="13" t="s">
        <v>136</v>
      </c>
      <c r="D18" s="13" t="s">
        <v>53</v>
      </c>
      <c r="E18" s="13" t="s">
        <v>54</v>
      </c>
      <c r="F18" s="13" t="s">
        <v>55</v>
      </c>
      <c r="G18" s="13" t="s">
        <v>56</v>
      </c>
      <c r="H18" s="13" t="s">
        <v>137</v>
      </c>
      <c r="I18" s="13" t="s">
        <v>58</v>
      </c>
      <c r="J18" s="13" t="s">
        <v>138</v>
      </c>
      <c r="K18" s="13" t="s">
        <v>138</v>
      </c>
      <c r="L18" s="13" t="s">
        <v>60</v>
      </c>
      <c r="M18" s="13" t="s">
        <v>139</v>
      </c>
    </row>
    <row r="19" spans="1:13" ht="78" customHeight="1" x14ac:dyDescent="0.3">
      <c r="A19" s="13" t="s">
        <v>140</v>
      </c>
      <c r="B19" s="13" t="s">
        <v>51</v>
      </c>
      <c r="C19" s="13" t="s">
        <v>141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142</v>
      </c>
      <c r="I19" s="13" t="s">
        <v>58</v>
      </c>
      <c r="J19" s="13" t="s">
        <v>100</v>
      </c>
      <c r="K19" s="13" t="s">
        <v>100</v>
      </c>
      <c r="L19" s="13" t="s">
        <v>60</v>
      </c>
      <c r="M19" s="13" t="s">
        <v>143</v>
      </c>
    </row>
    <row r="20" spans="1:13" ht="78" customHeight="1" x14ac:dyDescent="0.3">
      <c r="A20" s="13" t="s">
        <v>144</v>
      </c>
      <c r="B20" s="13" t="s">
        <v>51</v>
      </c>
      <c r="C20" s="13" t="s">
        <v>145</v>
      </c>
      <c r="D20" s="13" t="s">
        <v>53</v>
      </c>
      <c r="E20" s="13" t="s">
        <v>54</v>
      </c>
      <c r="F20" s="13" t="s">
        <v>55</v>
      </c>
      <c r="G20" s="13" t="s">
        <v>56</v>
      </c>
      <c r="H20" s="13" t="s">
        <v>146</v>
      </c>
      <c r="I20" s="13" t="s">
        <v>58</v>
      </c>
      <c r="J20" s="13" t="s">
        <v>147</v>
      </c>
      <c r="K20" s="13" t="s">
        <v>147</v>
      </c>
      <c r="L20" s="13" t="s">
        <v>60</v>
      </c>
      <c r="M20" s="13" t="s">
        <v>148</v>
      </c>
    </row>
    <row r="21" spans="1:13" ht="78" customHeight="1" x14ac:dyDescent="0.3">
      <c r="A21" s="13" t="s">
        <v>149</v>
      </c>
      <c r="B21" s="13" t="s">
        <v>51</v>
      </c>
      <c r="C21" s="13" t="s">
        <v>150</v>
      </c>
      <c r="D21" s="13" t="s">
        <v>53</v>
      </c>
      <c r="E21" s="13" t="s">
        <v>54</v>
      </c>
      <c r="F21" s="13" t="s">
        <v>55</v>
      </c>
      <c r="G21" s="13" t="s">
        <v>56</v>
      </c>
      <c r="H21" s="13" t="s">
        <v>151</v>
      </c>
      <c r="I21" s="13" t="s">
        <v>58</v>
      </c>
      <c r="J21" s="13" t="s">
        <v>85</v>
      </c>
      <c r="K21" s="13" t="s">
        <v>85</v>
      </c>
      <c r="L21" s="13" t="s">
        <v>60</v>
      </c>
      <c r="M21" s="13" t="s">
        <v>152</v>
      </c>
    </row>
    <row r="22" spans="1:13" ht="78" customHeight="1" x14ac:dyDescent="0.3">
      <c r="A22" s="13" t="s">
        <v>153</v>
      </c>
      <c r="B22" s="13" t="s">
        <v>51</v>
      </c>
      <c r="C22" s="13" t="s">
        <v>154</v>
      </c>
      <c r="D22" s="13" t="s">
        <v>53</v>
      </c>
      <c r="E22" s="13" t="s">
        <v>54</v>
      </c>
      <c r="F22" s="13" t="s">
        <v>55</v>
      </c>
      <c r="G22" s="13" t="s">
        <v>56</v>
      </c>
      <c r="H22" s="13" t="s">
        <v>155</v>
      </c>
      <c r="I22" s="13" t="s">
        <v>58</v>
      </c>
      <c r="J22" s="13" t="s">
        <v>156</v>
      </c>
      <c r="K22" s="13" t="s">
        <v>156</v>
      </c>
      <c r="L22" s="13" t="s">
        <v>60</v>
      </c>
      <c r="M22" s="13" t="s">
        <v>157</v>
      </c>
    </row>
    <row r="23" spans="1:13" ht="78" customHeight="1" x14ac:dyDescent="0.3">
      <c r="A23" s="13" t="s">
        <v>158</v>
      </c>
      <c r="B23" s="13" t="s">
        <v>51</v>
      </c>
      <c r="C23" s="13" t="s">
        <v>159</v>
      </c>
      <c r="D23" s="13" t="s">
        <v>53</v>
      </c>
      <c r="E23" s="13" t="s">
        <v>54</v>
      </c>
      <c r="F23" s="13" t="s">
        <v>55</v>
      </c>
      <c r="G23" s="13" t="s">
        <v>56</v>
      </c>
      <c r="H23" s="13" t="s">
        <v>160</v>
      </c>
      <c r="I23" s="13" t="s">
        <v>58</v>
      </c>
      <c r="J23" s="13" t="s">
        <v>161</v>
      </c>
      <c r="K23" s="13" t="s">
        <v>161</v>
      </c>
      <c r="L23" s="13" t="s">
        <v>60</v>
      </c>
      <c r="M23" s="13" t="s">
        <v>162</v>
      </c>
    </row>
    <row r="24" spans="1:13" ht="78" customHeight="1" x14ac:dyDescent="0.3">
      <c r="A24" s="13" t="s">
        <v>163</v>
      </c>
      <c r="B24" s="13" t="s">
        <v>51</v>
      </c>
      <c r="C24" s="13" t="s">
        <v>164</v>
      </c>
      <c r="D24" s="13" t="s">
        <v>53</v>
      </c>
      <c r="E24" s="13" t="s">
        <v>54</v>
      </c>
      <c r="F24" s="13" t="s">
        <v>55</v>
      </c>
      <c r="G24" s="13" t="s">
        <v>56</v>
      </c>
      <c r="H24" s="13" t="s">
        <v>165</v>
      </c>
      <c r="I24" s="13" t="s">
        <v>58</v>
      </c>
      <c r="J24" s="13" t="s">
        <v>166</v>
      </c>
      <c r="K24" s="13" t="s">
        <v>166</v>
      </c>
      <c r="L24" s="13" t="s">
        <v>60</v>
      </c>
      <c r="M24" s="13" t="s">
        <v>167</v>
      </c>
    </row>
    <row r="25" spans="1:13" ht="78" customHeight="1" x14ac:dyDescent="0.3">
      <c r="A25" s="13" t="s">
        <v>168</v>
      </c>
      <c r="B25" s="13" t="s">
        <v>51</v>
      </c>
      <c r="C25" s="13" t="s">
        <v>169</v>
      </c>
      <c r="D25" s="13" t="s">
        <v>53</v>
      </c>
      <c r="E25" s="13" t="s">
        <v>54</v>
      </c>
      <c r="F25" s="13" t="s">
        <v>55</v>
      </c>
      <c r="G25" s="13" t="s">
        <v>56</v>
      </c>
      <c r="H25" s="13" t="s">
        <v>170</v>
      </c>
      <c r="I25" s="13" t="s">
        <v>58</v>
      </c>
      <c r="J25" s="13" t="s">
        <v>123</v>
      </c>
      <c r="K25" s="13" t="s">
        <v>123</v>
      </c>
      <c r="L25" s="13" t="s">
        <v>60</v>
      </c>
      <c r="M25" s="13" t="s">
        <v>171</v>
      </c>
    </row>
    <row r="26" spans="1:13" ht="78" customHeight="1" x14ac:dyDescent="0.3">
      <c r="A26" s="13" t="s">
        <v>172</v>
      </c>
      <c r="B26" s="13" t="s">
        <v>51</v>
      </c>
      <c r="C26" s="13" t="s">
        <v>173</v>
      </c>
      <c r="D26" s="13" t="s">
        <v>53</v>
      </c>
      <c r="E26" s="13" t="s">
        <v>54</v>
      </c>
      <c r="F26" s="13" t="s">
        <v>55</v>
      </c>
      <c r="G26" s="13" t="s">
        <v>56</v>
      </c>
      <c r="H26" s="13" t="s">
        <v>174</v>
      </c>
      <c r="I26" s="13" t="s">
        <v>58</v>
      </c>
      <c r="J26" s="13" t="s">
        <v>175</v>
      </c>
      <c r="K26" s="13" t="s">
        <v>175</v>
      </c>
      <c r="L26" s="13" t="s">
        <v>60</v>
      </c>
      <c r="M26" s="13" t="s">
        <v>176</v>
      </c>
    </row>
    <row r="27" spans="1:13" ht="78" customHeight="1" x14ac:dyDescent="0.3">
      <c r="A27" s="13" t="s">
        <v>177</v>
      </c>
      <c r="B27" s="13" t="s">
        <v>51</v>
      </c>
      <c r="C27" s="13" t="s">
        <v>178</v>
      </c>
      <c r="D27" s="13" t="s">
        <v>53</v>
      </c>
      <c r="E27" s="13" t="s">
        <v>54</v>
      </c>
      <c r="F27" s="13" t="s">
        <v>55</v>
      </c>
      <c r="G27" s="13" t="s">
        <v>56</v>
      </c>
      <c r="H27" s="13" t="s">
        <v>179</v>
      </c>
      <c r="I27" s="13" t="s">
        <v>58</v>
      </c>
      <c r="J27" s="13" t="s">
        <v>138</v>
      </c>
      <c r="K27" s="13" t="s">
        <v>138</v>
      </c>
      <c r="L27" s="13" t="s">
        <v>60</v>
      </c>
      <c r="M27" s="13" t="s">
        <v>180</v>
      </c>
    </row>
    <row r="28" spans="1:13" ht="78" customHeight="1" x14ac:dyDescent="0.3">
      <c r="A28" s="13" t="s">
        <v>181</v>
      </c>
      <c r="B28" s="13" t="s">
        <v>51</v>
      </c>
      <c r="C28" s="13" t="s">
        <v>182</v>
      </c>
      <c r="D28" s="13" t="s">
        <v>53</v>
      </c>
      <c r="E28" s="13" t="s">
        <v>54</v>
      </c>
      <c r="F28" s="13" t="s">
        <v>55</v>
      </c>
      <c r="G28" s="13" t="s">
        <v>56</v>
      </c>
      <c r="H28" s="13" t="s">
        <v>183</v>
      </c>
      <c r="I28" s="13" t="s">
        <v>58</v>
      </c>
      <c r="J28" s="13" t="s">
        <v>138</v>
      </c>
      <c r="K28" s="13" t="s">
        <v>138</v>
      </c>
      <c r="L28" s="13" t="s">
        <v>60</v>
      </c>
      <c r="M28" s="13" t="s">
        <v>184</v>
      </c>
    </row>
    <row r="29" spans="1:13" ht="78" customHeight="1" x14ac:dyDescent="0.3">
      <c r="A29" s="13" t="s">
        <v>185</v>
      </c>
      <c r="B29" s="13" t="s">
        <v>51</v>
      </c>
      <c r="C29" s="13" t="s">
        <v>186</v>
      </c>
      <c r="D29" s="13" t="s">
        <v>53</v>
      </c>
      <c r="E29" s="13" t="s">
        <v>54</v>
      </c>
      <c r="F29" s="13" t="s">
        <v>55</v>
      </c>
      <c r="G29" s="13" t="s">
        <v>56</v>
      </c>
      <c r="H29" s="13" t="s">
        <v>187</v>
      </c>
      <c r="I29" s="13" t="s">
        <v>58</v>
      </c>
      <c r="J29" s="13" t="s">
        <v>188</v>
      </c>
      <c r="K29" s="13" t="s">
        <v>188</v>
      </c>
      <c r="L29" s="13" t="s">
        <v>60</v>
      </c>
      <c r="M29" s="13" t="s">
        <v>189</v>
      </c>
    </row>
    <row r="30" spans="1:13" ht="78" customHeight="1" x14ac:dyDescent="0.3">
      <c r="A30" s="13" t="s">
        <v>190</v>
      </c>
      <c r="B30" s="13" t="s">
        <v>51</v>
      </c>
      <c r="C30" s="13" t="s">
        <v>191</v>
      </c>
      <c r="D30" s="13" t="s">
        <v>53</v>
      </c>
      <c r="E30" s="13" t="s">
        <v>54</v>
      </c>
      <c r="F30" s="13" t="s">
        <v>55</v>
      </c>
      <c r="G30" s="13" t="s">
        <v>56</v>
      </c>
      <c r="H30" s="13" t="s">
        <v>192</v>
      </c>
      <c r="I30" s="13" t="s">
        <v>58</v>
      </c>
      <c r="J30" s="13" t="s">
        <v>193</v>
      </c>
      <c r="K30" s="13" t="s">
        <v>193</v>
      </c>
      <c r="L30" s="13" t="s">
        <v>60</v>
      </c>
      <c r="M30" s="13" t="s">
        <v>194</v>
      </c>
    </row>
    <row r="31" spans="1:13" ht="78" customHeight="1" x14ac:dyDescent="0.3">
      <c r="A31" s="13" t="s">
        <v>195</v>
      </c>
      <c r="B31" s="13" t="s">
        <v>51</v>
      </c>
      <c r="C31" s="13" t="s">
        <v>196</v>
      </c>
      <c r="D31" s="13" t="s">
        <v>53</v>
      </c>
      <c r="E31" s="13" t="s">
        <v>54</v>
      </c>
      <c r="F31" s="13" t="s">
        <v>55</v>
      </c>
      <c r="G31" s="13" t="s">
        <v>56</v>
      </c>
      <c r="H31" s="13" t="s">
        <v>197</v>
      </c>
      <c r="I31" s="13" t="s">
        <v>58</v>
      </c>
      <c r="J31" s="13" t="s">
        <v>138</v>
      </c>
      <c r="K31" s="13" t="s">
        <v>138</v>
      </c>
      <c r="L31" s="13" t="s">
        <v>60</v>
      </c>
      <c r="M31" s="13" t="s">
        <v>198</v>
      </c>
    </row>
    <row r="32" spans="1:13" ht="78" customHeight="1" x14ac:dyDescent="0.3">
      <c r="A32" s="13" t="s">
        <v>199</v>
      </c>
      <c r="B32" s="13" t="s">
        <v>51</v>
      </c>
      <c r="C32" s="13" t="s">
        <v>200</v>
      </c>
      <c r="D32" s="13" t="s">
        <v>53</v>
      </c>
      <c r="E32" s="13" t="s">
        <v>54</v>
      </c>
      <c r="F32" s="13" t="s">
        <v>55</v>
      </c>
      <c r="G32" s="13" t="s">
        <v>56</v>
      </c>
      <c r="H32" s="13" t="s">
        <v>201</v>
      </c>
      <c r="I32" s="13" t="s">
        <v>58</v>
      </c>
      <c r="J32" s="13" t="s">
        <v>156</v>
      </c>
      <c r="K32" s="13" t="s">
        <v>156</v>
      </c>
      <c r="L32" s="13" t="s">
        <v>60</v>
      </c>
      <c r="M32" s="13" t="s">
        <v>202</v>
      </c>
    </row>
    <row r="33" spans="1:13" ht="78" customHeight="1" x14ac:dyDescent="0.3">
      <c r="A33" s="13" t="s">
        <v>203</v>
      </c>
      <c r="B33" s="13" t="s">
        <v>51</v>
      </c>
      <c r="C33" s="13" t="s">
        <v>204</v>
      </c>
      <c r="D33" s="13" t="s">
        <v>53</v>
      </c>
      <c r="E33" s="13" t="s">
        <v>54</v>
      </c>
      <c r="F33" s="13" t="s">
        <v>55</v>
      </c>
      <c r="G33" s="13" t="s">
        <v>56</v>
      </c>
      <c r="H33" s="13" t="s">
        <v>205</v>
      </c>
      <c r="I33" s="13" t="s">
        <v>58</v>
      </c>
      <c r="J33" s="13" t="s">
        <v>188</v>
      </c>
      <c r="K33" s="13" t="s">
        <v>188</v>
      </c>
      <c r="L33" s="13" t="s">
        <v>60</v>
      </c>
      <c r="M33" s="13" t="s">
        <v>206</v>
      </c>
    </row>
    <row r="34" spans="1:13" ht="78" customHeight="1" x14ac:dyDescent="0.3">
      <c r="A34" s="13" t="s">
        <v>207</v>
      </c>
      <c r="B34" s="13" t="s">
        <v>51</v>
      </c>
      <c r="C34" s="13" t="s">
        <v>208</v>
      </c>
      <c r="D34" s="13" t="s">
        <v>53</v>
      </c>
      <c r="E34" s="13" t="s">
        <v>54</v>
      </c>
      <c r="F34" s="13" t="s">
        <v>55</v>
      </c>
      <c r="G34" s="13" t="s">
        <v>56</v>
      </c>
      <c r="H34" s="13" t="s">
        <v>209</v>
      </c>
      <c r="I34" s="13" t="s">
        <v>58</v>
      </c>
      <c r="J34" s="13" t="s">
        <v>210</v>
      </c>
      <c r="K34" s="13" t="s">
        <v>210</v>
      </c>
      <c r="L34" s="13" t="s">
        <v>60</v>
      </c>
      <c r="M34" s="13" t="s">
        <v>211</v>
      </c>
    </row>
    <row r="35" spans="1:13" ht="78" customHeight="1" x14ac:dyDescent="0.3">
      <c r="A35" s="13" t="s">
        <v>212</v>
      </c>
      <c r="B35" s="13" t="s">
        <v>51</v>
      </c>
      <c r="C35" s="13" t="s">
        <v>213</v>
      </c>
      <c r="D35" s="13" t="s">
        <v>53</v>
      </c>
      <c r="E35" s="13" t="s">
        <v>54</v>
      </c>
      <c r="F35" s="13" t="s">
        <v>55</v>
      </c>
      <c r="G35" s="13" t="s">
        <v>56</v>
      </c>
      <c r="H35" s="13" t="s">
        <v>214</v>
      </c>
      <c r="I35" s="13" t="s">
        <v>58</v>
      </c>
      <c r="J35" s="13" t="s">
        <v>215</v>
      </c>
      <c r="K35" s="13" t="s">
        <v>215</v>
      </c>
      <c r="L35" s="13" t="s">
        <v>60</v>
      </c>
      <c r="M35" s="13" t="s">
        <v>216</v>
      </c>
    </row>
    <row r="36" spans="1:13" ht="78" customHeight="1" x14ac:dyDescent="0.3">
      <c r="A36" s="13" t="s">
        <v>217</v>
      </c>
      <c r="B36" s="13" t="s">
        <v>51</v>
      </c>
      <c r="C36" s="13" t="s">
        <v>218</v>
      </c>
      <c r="D36" s="13" t="s">
        <v>53</v>
      </c>
      <c r="E36" s="13" t="s">
        <v>54</v>
      </c>
      <c r="F36" s="13" t="s">
        <v>55</v>
      </c>
      <c r="G36" s="13" t="s">
        <v>56</v>
      </c>
      <c r="H36" s="13" t="s">
        <v>219</v>
      </c>
      <c r="I36" s="13" t="s">
        <v>58</v>
      </c>
      <c r="J36" s="13" t="s">
        <v>210</v>
      </c>
      <c r="K36" s="13" t="s">
        <v>210</v>
      </c>
      <c r="L36" s="13" t="s">
        <v>60</v>
      </c>
      <c r="M36" s="13" t="s">
        <v>220</v>
      </c>
    </row>
    <row r="37" spans="1:13" ht="78" customHeight="1" x14ac:dyDescent="0.3">
      <c r="A37" s="13" t="s">
        <v>221</v>
      </c>
      <c r="B37" s="13" t="s">
        <v>51</v>
      </c>
      <c r="C37" s="13" t="s">
        <v>222</v>
      </c>
      <c r="D37" s="13" t="s">
        <v>53</v>
      </c>
      <c r="E37" s="13" t="s">
        <v>54</v>
      </c>
      <c r="F37" s="13" t="s">
        <v>55</v>
      </c>
      <c r="G37" s="13" t="s">
        <v>56</v>
      </c>
      <c r="H37" s="13" t="s">
        <v>223</v>
      </c>
      <c r="I37" s="13" t="s">
        <v>58</v>
      </c>
      <c r="J37" s="13" t="s">
        <v>224</v>
      </c>
      <c r="K37" s="13" t="s">
        <v>224</v>
      </c>
      <c r="L37" s="13" t="s">
        <v>60</v>
      </c>
      <c r="M37" s="13" t="s">
        <v>225</v>
      </c>
    </row>
    <row r="38" spans="1:13" ht="78" customHeight="1" x14ac:dyDescent="0.3">
      <c r="A38" s="13" t="s">
        <v>226</v>
      </c>
      <c r="B38" s="13" t="s">
        <v>51</v>
      </c>
      <c r="C38" s="13" t="s">
        <v>227</v>
      </c>
      <c r="D38" s="13" t="s">
        <v>53</v>
      </c>
      <c r="E38" s="13" t="s">
        <v>54</v>
      </c>
      <c r="F38" s="13" t="s">
        <v>55</v>
      </c>
      <c r="G38" s="13" t="s">
        <v>56</v>
      </c>
      <c r="H38" s="13" t="s">
        <v>228</v>
      </c>
      <c r="I38" s="13" t="s">
        <v>58</v>
      </c>
      <c r="J38" s="13" t="s">
        <v>229</v>
      </c>
      <c r="K38" s="13" t="s">
        <v>229</v>
      </c>
      <c r="L38" s="13" t="s">
        <v>60</v>
      </c>
      <c r="M38" s="13" t="s">
        <v>230</v>
      </c>
    </row>
    <row r="39" spans="1:13" ht="78" customHeight="1" x14ac:dyDescent="0.3">
      <c r="A39" s="13" t="s">
        <v>231</v>
      </c>
      <c r="B39" s="13" t="s">
        <v>51</v>
      </c>
      <c r="C39" s="13" t="s">
        <v>232</v>
      </c>
      <c r="D39" s="13" t="s">
        <v>53</v>
      </c>
      <c r="E39" s="13" t="s">
        <v>54</v>
      </c>
      <c r="F39" s="13" t="s">
        <v>55</v>
      </c>
      <c r="G39" s="13" t="s">
        <v>56</v>
      </c>
      <c r="H39" s="13" t="s">
        <v>233</v>
      </c>
      <c r="I39" s="13" t="s">
        <v>58</v>
      </c>
      <c r="J39" s="13" t="s">
        <v>188</v>
      </c>
      <c r="K39" s="13" t="s">
        <v>188</v>
      </c>
      <c r="L39" s="13" t="s">
        <v>60</v>
      </c>
      <c r="M39" s="13" t="s">
        <v>234</v>
      </c>
    </row>
    <row r="40" spans="1:13" ht="78" customHeight="1" x14ac:dyDescent="0.3">
      <c r="A40" s="13" t="s">
        <v>235</v>
      </c>
      <c r="B40" s="13" t="s">
        <v>51</v>
      </c>
      <c r="C40" s="13" t="s">
        <v>236</v>
      </c>
      <c r="D40" s="13" t="s">
        <v>53</v>
      </c>
      <c r="E40" s="13" t="s">
        <v>54</v>
      </c>
      <c r="F40" s="13" t="s">
        <v>55</v>
      </c>
      <c r="G40" s="13" t="s">
        <v>56</v>
      </c>
      <c r="H40" s="13" t="s">
        <v>237</v>
      </c>
      <c r="I40" s="13" t="s">
        <v>58</v>
      </c>
      <c r="J40" s="13" t="s">
        <v>188</v>
      </c>
      <c r="K40" s="13" t="s">
        <v>188</v>
      </c>
      <c r="L40" s="13" t="s">
        <v>60</v>
      </c>
      <c r="M40" s="13" t="s">
        <v>238</v>
      </c>
    </row>
    <row r="41" spans="1:13" ht="78" customHeight="1" x14ac:dyDescent="0.3">
      <c r="A41" s="13" t="s">
        <v>239</v>
      </c>
      <c r="B41" s="13" t="s">
        <v>51</v>
      </c>
      <c r="C41" s="13" t="s">
        <v>240</v>
      </c>
      <c r="D41" s="13" t="s">
        <v>53</v>
      </c>
      <c r="E41" s="13" t="s">
        <v>54</v>
      </c>
      <c r="F41" s="13" t="s">
        <v>55</v>
      </c>
      <c r="G41" s="13" t="s">
        <v>56</v>
      </c>
      <c r="H41" s="13" t="s">
        <v>241</v>
      </c>
      <c r="I41" s="13" t="s">
        <v>58</v>
      </c>
      <c r="J41" s="13" t="s">
        <v>215</v>
      </c>
      <c r="K41" s="13" t="s">
        <v>215</v>
      </c>
      <c r="L41" s="13" t="s">
        <v>60</v>
      </c>
      <c r="M41" s="13" t="s">
        <v>242</v>
      </c>
    </row>
    <row r="42" spans="1:13" ht="78" customHeight="1" x14ac:dyDescent="0.3">
      <c r="A42" s="13" t="s">
        <v>243</v>
      </c>
      <c r="B42" s="13" t="s">
        <v>51</v>
      </c>
      <c r="C42" s="13" t="s">
        <v>244</v>
      </c>
      <c r="D42" s="13" t="s">
        <v>53</v>
      </c>
      <c r="E42" s="13" t="s">
        <v>54</v>
      </c>
      <c r="F42" s="13" t="s">
        <v>55</v>
      </c>
      <c r="G42" s="13" t="s">
        <v>56</v>
      </c>
      <c r="H42" s="13" t="s">
        <v>245</v>
      </c>
      <c r="I42" s="13" t="s">
        <v>58</v>
      </c>
      <c r="J42" s="13" t="s">
        <v>210</v>
      </c>
      <c r="K42" s="13" t="s">
        <v>210</v>
      </c>
      <c r="L42" s="13" t="s">
        <v>60</v>
      </c>
      <c r="M42" s="13" t="s">
        <v>246</v>
      </c>
    </row>
    <row r="43" spans="1:13" ht="78" customHeight="1" x14ac:dyDescent="0.3">
      <c r="A43" s="13" t="s">
        <v>247</v>
      </c>
      <c r="B43" s="13" t="s">
        <v>51</v>
      </c>
      <c r="C43" s="13" t="s">
        <v>248</v>
      </c>
      <c r="D43" s="13" t="s">
        <v>53</v>
      </c>
      <c r="E43" s="13" t="s">
        <v>54</v>
      </c>
      <c r="F43" s="13" t="s">
        <v>55</v>
      </c>
      <c r="G43" s="13" t="s">
        <v>56</v>
      </c>
      <c r="H43" s="13" t="s">
        <v>249</v>
      </c>
      <c r="I43" s="13" t="s">
        <v>58</v>
      </c>
      <c r="J43" s="13" t="s">
        <v>210</v>
      </c>
      <c r="K43" s="13" t="s">
        <v>210</v>
      </c>
      <c r="L43" s="13" t="s">
        <v>60</v>
      </c>
      <c r="M43" s="13" t="s">
        <v>250</v>
      </c>
    </row>
    <row r="44" spans="1:13" ht="78" customHeight="1" x14ac:dyDescent="0.3">
      <c r="A44" s="13" t="s">
        <v>251</v>
      </c>
      <c r="B44" s="13" t="s">
        <v>51</v>
      </c>
      <c r="C44" s="13" t="s">
        <v>252</v>
      </c>
      <c r="D44" s="13" t="s">
        <v>53</v>
      </c>
      <c r="E44" s="13" t="s">
        <v>54</v>
      </c>
      <c r="F44" s="13" t="s">
        <v>55</v>
      </c>
      <c r="G44" s="13" t="s">
        <v>56</v>
      </c>
      <c r="H44" s="13" t="s">
        <v>253</v>
      </c>
      <c r="I44" s="13" t="s">
        <v>58</v>
      </c>
      <c r="J44" s="13" t="s">
        <v>229</v>
      </c>
      <c r="K44" s="13" t="s">
        <v>229</v>
      </c>
      <c r="L44" s="13" t="s">
        <v>60</v>
      </c>
      <c r="M44" s="13" t="s">
        <v>254</v>
      </c>
    </row>
    <row r="45" spans="1:13" ht="78" customHeight="1" x14ac:dyDescent="0.3">
      <c r="A45" s="13" t="s">
        <v>255</v>
      </c>
      <c r="B45" s="13" t="s">
        <v>51</v>
      </c>
      <c r="C45" s="13" t="s">
        <v>256</v>
      </c>
      <c r="D45" s="13" t="s">
        <v>53</v>
      </c>
      <c r="E45" s="13" t="s">
        <v>54</v>
      </c>
      <c r="F45" s="13" t="s">
        <v>55</v>
      </c>
      <c r="G45" s="13" t="s">
        <v>56</v>
      </c>
      <c r="H45" s="13" t="s">
        <v>257</v>
      </c>
      <c r="I45" s="13" t="s">
        <v>58</v>
      </c>
      <c r="J45" s="13" t="s">
        <v>138</v>
      </c>
      <c r="K45" s="13" t="s">
        <v>138</v>
      </c>
      <c r="L45" s="13" t="s">
        <v>60</v>
      </c>
      <c r="M45" s="13" t="s">
        <v>258</v>
      </c>
    </row>
    <row r="46" spans="1:13" ht="78" customHeight="1" x14ac:dyDescent="0.3">
      <c r="A46" s="13" t="s">
        <v>259</v>
      </c>
      <c r="B46" s="13" t="s">
        <v>51</v>
      </c>
      <c r="C46" s="13" t="s">
        <v>260</v>
      </c>
      <c r="D46" s="13" t="s">
        <v>53</v>
      </c>
      <c r="E46" s="13" t="s">
        <v>54</v>
      </c>
      <c r="F46" s="13" t="s">
        <v>55</v>
      </c>
      <c r="G46" s="13" t="s">
        <v>56</v>
      </c>
      <c r="H46" s="13" t="s">
        <v>261</v>
      </c>
      <c r="I46" s="13" t="s">
        <v>58</v>
      </c>
      <c r="J46" s="13" t="s">
        <v>262</v>
      </c>
      <c r="K46" s="13" t="s">
        <v>262</v>
      </c>
      <c r="L46" s="13" t="s">
        <v>60</v>
      </c>
      <c r="M46" s="13" t="s">
        <v>263</v>
      </c>
    </row>
    <row r="47" spans="1:13" ht="78" customHeight="1" x14ac:dyDescent="0.3">
      <c r="A47" s="13" t="s">
        <v>264</v>
      </c>
      <c r="B47" s="13" t="s">
        <v>51</v>
      </c>
      <c r="C47" s="13" t="s">
        <v>265</v>
      </c>
      <c r="D47" s="13" t="s">
        <v>53</v>
      </c>
      <c r="E47" s="13" t="s">
        <v>54</v>
      </c>
      <c r="F47" s="13" t="s">
        <v>55</v>
      </c>
      <c r="G47" s="13" t="s">
        <v>56</v>
      </c>
      <c r="H47" s="13" t="s">
        <v>266</v>
      </c>
      <c r="I47" s="13" t="s">
        <v>58</v>
      </c>
      <c r="J47" s="13" t="s">
        <v>188</v>
      </c>
      <c r="K47" s="13" t="s">
        <v>188</v>
      </c>
      <c r="L47" s="13" t="s">
        <v>60</v>
      </c>
      <c r="M47" s="13" t="s">
        <v>267</v>
      </c>
    </row>
    <row r="48" spans="1:13" ht="78" customHeight="1" x14ac:dyDescent="0.3">
      <c r="A48" s="13" t="s">
        <v>268</v>
      </c>
      <c r="B48" s="13" t="s">
        <v>51</v>
      </c>
      <c r="C48" s="13" t="s">
        <v>269</v>
      </c>
      <c r="D48" s="13" t="s">
        <v>53</v>
      </c>
      <c r="E48" s="13" t="s">
        <v>54</v>
      </c>
      <c r="F48" s="13" t="s">
        <v>55</v>
      </c>
      <c r="G48" s="13" t="s">
        <v>56</v>
      </c>
      <c r="H48" s="13" t="s">
        <v>270</v>
      </c>
      <c r="I48" s="13" t="s">
        <v>58</v>
      </c>
      <c r="J48" s="13" t="s">
        <v>271</v>
      </c>
      <c r="K48" s="13" t="s">
        <v>271</v>
      </c>
      <c r="L48" s="13" t="s">
        <v>60</v>
      </c>
      <c r="M48" s="13" t="s">
        <v>272</v>
      </c>
    </row>
    <row r="49" spans="1:13" ht="78" customHeight="1" x14ac:dyDescent="0.3">
      <c r="A49" s="13" t="s">
        <v>273</v>
      </c>
      <c r="B49" s="13" t="s">
        <v>51</v>
      </c>
      <c r="C49" s="13" t="s">
        <v>274</v>
      </c>
      <c r="D49" s="13" t="s">
        <v>53</v>
      </c>
      <c r="E49" s="13" t="s">
        <v>54</v>
      </c>
      <c r="F49" s="13" t="s">
        <v>55</v>
      </c>
      <c r="G49" s="13" t="s">
        <v>56</v>
      </c>
      <c r="H49" s="13" t="s">
        <v>275</v>
      </c>
      <c r="I49" s="13" t="s">
        <v>58</v>
      </c>
      <c r="J49" s="13" t="s">
        <v>276</v>
      </c>
      <c r="K49" s="13" t="s">
        <v>276</v>
      </c>
      <c r="L49" s="13" t="s">
        <v>60</v>
      </c>
      <c r="M49" s="13" t="s">
        <v>277</v>
      </c>
    </row>
    <row r="50" spans="1:13" ht="78" customHeight="1" x14ac:dyDescent="0.3">
      <c r="A50" s="13" t="s">
        <v>278</v>
      </c>
      <c r="B50" s="13" t="s">
        <v>51</v>
      </c>
      <c r="C50" s="13" t="s">
        <v>279</v>
      </c>
      <c r="D50" s="13" t="s">
        <v>53</v>
      </c>
      <c r="E50" s="13" t="s">
        <v>54</v>
      </c>
      <c r="F50" s="13" t="s">
        <v>55</v>
      </c>
      <c r="G50" s="13" t="s">
        <v>56</v>
      </c>
      <c r="H50" s="13" t="s">
        <v>280</v>
      </c>
      <c r="I50" s="13" t="s">
        <v>58</v>
      </c>
      <c r="J50" s="13" t="s">
        <v>281</v>
      </c>
      <c r="K50" s="13" t="s">
        <v>281</v>
      </c>
      <c r="L50" s="13" t="s">
        <v>60</v>
      </c>
      <c r="M50" s="13" t="s">
        <v>282</v>
      </c>
    </row>
    <row r="51" spans="1:13" ht="78" customHeight="1" x14ac:dyDescent="0.3">
      <c r="A51" s="13" t="s">
        <v>283</v>
      </c>
      <c r="B51" s="13" t="s">
        <v>51</v>
      </c>
      <c r="C51" s="13" t="s">
        <v>284</v>
      </c>
      <c r="D51" s="13" t="s">
        <v>53</v>
      </c>
      <c r="E51" s="13" t="s">
        <v>54</v>
      </c>
      <c r="F51" s="13" t="s">
        <v>55</v>
      </c>
      <c r="G51" s="13" t="s">
        <v>56</v>
      </c>
      <c r="H51" s="13" t="s">
        <v>285</v>
      </c>
      <c r="I51" s="13" t="s">
        <v>58</v>
      </c>
      <c r="J51" s="13" t="s">
        <v>286</v>
      </c>
      <c r="K51" s="13" t="s">
        <v>286</v>
      </c>
      <c r="L51" s="13" t="s">
        <v>60</v>
      </c>
      <c r="M51" s="13" t="s">
        <v>287</v>
      </c>
    </row>
    <row r="52" spans="1:13" ht="78" customHeight="1" x14ac:dyDescent="0.3">
      <c r="A52" s="13" t="s">
        <v>288</v>
      </c>
      <c r="B52" s="13" t="s">
        <v>51</v>
      </c>
      <c r="C52" s="13" t="s">
        <v>289</v>
      </c>
      <c r="D52" s="13" t="s">
        <v>53</v>
      </c>
      <c r="E52" s="13" t="s">
        <v>54</v>
      </c>
      <c r="F52" s="13" t="s">
        <v>55</v>
      </c>
      <c r="G52" s="13" t="s">
        <v>56</v>
      </c>
      <c r="H52" s="13" t="s">
        <v>290</v>
      </c>
      <c r="I52" s="13" t="s">
        <v>58</v>
      </c>
      <c r="J52" s="13" t="s">
        <v>138</v>
      </c>
      <c r="K52" s="13" t="s">
        <v>138</v>
      </c>
      <c r="L52" s="13" t="s">
        <v>60</v>
      </c>
      <c r="M52" s="13" t="s">
        <v>291</v>
      </c>
    </row>
    <row r="53" spans="1:13" ht="78" customHeight="1" x14ac:dyDescent="0.3">
      <c r="A53" s="13" t="s">
        <v>292</v>
      </c>
      <c r="B53" s="13" t="s">
        <v>51</v>
      </c>
      <c r="C53" s="13" t="s">
        <v>293</v>
      </c>
      <c r="D53" s="13" t="s">
        <v>53</v>
      </c>
      <c r="E53" s="13" t="s">
        <v>54</v>
      </c>
      <c r="F53" s="13" t="s">
        <v>55</v>
      </c>
      <c r="G53" s="13" t="s">
        <v>56</v>
      </c>
      <c r="H53" s="13" t="s">
        <v>294</v>
      </c>
      <c r="I53" s="13" t="s">
        <v>58</v>
      </c>
      <c r="J53" s="13" t="s">
        <v>138</v>
      </c>
      <c r="K53" s="13" t="s">
        <v>138</v>
      </c>
      <c r="L53" s="13" t="s">
        <v>60</v>
      </c>
      <c r="M53" s="13" t="s">
        <v>295</v>
      </c>
    </row>
    <row r="54" spans="1:13" ht="78" customHeight="1" x14ac:dyDescent="0.3">
      <c r="A54" s="13" t="s">
        <v>296</v>
      </c>
      <c r="B54" s="13" t="s">
        <v>51</v>
      </c>
      <c r="C54" s="13" t="s">
        <v>297</v>
      </c>
      <c r="D54" s="13" t="s">
        <v>53</v>
      </c>
      <c r="E54" s="13" t="s">
        <v>54</v>
      </c>
      <c r="F54" s="13" t="s">
        <v>55</v>
      </c>
      <c r="G54" s="13" t="s">
        <v>56</v>
      </c>
      <c r="H54" s="13" t="s">
        <v>298</v>
      </c>
      <c r="I54" s="13" t="s">
        <v>58</v>
      </c>
      <c r="J54" s="13" t="s">
        <v>299</v>
      </c>
      <c r="K54" s="13" t="s">
        <v>300</v>
      </c>
      <c r="L54" s="13" t="s">
        <v>70</v>
      </c>
      <c r="M54" s="13" t="s">
        <v>301</v>
      </c>
    </row>
    <row r="55" spans="1:13" ht="78" customHeight="1" x14ac:dyDescent="0.3">
      <c r="A55" s="13" t="s">
        <v>302</v>
      </c>
      <c r="B55" s="13" t="s">
        <v>51</v>
      </c>
      <c r="C55" s="13" t="s">
        <v>303</v>
      </c>
      <c r="D55" s="13" t="s">
        <v>53</v>
      </c>
      <c r="E55" s="13" t="s">
        <v>54</v>
      </c>
      <c r="F55" s="13" t="s">
        <v>55</v>
      </c>
      <c r="G55" s="13" t="s">
        <v>56</v>
      </c>
      <c r="H55" s="13" t="s">
        <v>304</v>
      </c>
      <c r="I55" s="13" t="s">
        <v>58</v>
      </c>
      <c r="J55" s="13" t="s">
        <v>193</v>
      </c>
      <c r="K55" s="13" t="s">
        <v>193</v>
      </c>
      <c r="L55" s="13" t="s">
        <v>60</v>
      </c>
      <c r="M55" s="13" t="s">
        <v>305</v>
      </c>
    </row>
    <row r="56" spans="1:13" ht="78" customHeight="1" x14ac:dyDescent="0.3">
      <c r="A56" s="13" t="s">
        <v>306</v>
      </c>
      <c r="B56" s="13" t="s">
        <v>51</v>
      </c>
      <c r="C56" s="13" t="s">
        <v>307</v>
      </c>
      <c r="D56" s="13" t="s">
        <v>53</v>
      </c>
      <c r="E56" s="13" t="s">
        <v>54</v>
      </c>
      <c r="F56" s="13" t="s">
        <v>55</v>
      </c>
      <c r="G56" s="13" t="s">
        <v>56</v>
      </c>
      <c r="H56" s="13" t="s">
        <v>308</v>
      </c>
      <c r="I56" s="13" t="s">
        <v>58</v>
      </c>
      <c r="J56" s="13" t="s">
        <v>193</v>
      </c>
      <c r="K56" s="13" t="s">
        <v>193</v>
      </c>
      <c r="L56" s="13" t="s">
        <v>60</v>
      </c>
      <c r="M56" s="13" t="s">
        <v>309</v>
      </c>
    </row>
    <row r="57" spans="1:13" ht="78" customHeight="1" x14ac:dyDescent="0.3">
      <c r="A57" s="13" t="s">
        <v>310</v>
      </c>
      <c r="B57" s="13" t="s">
        <v>51</v>
      </c>
      <c r="C57" s="13" t="s">
        <v>311</v>
      </c>
      <c r="D57" s="13" t="s">
        <v>53</v>
      </c>
      <c r="E57" s="13" t="s">
        <v>54</v>
      </c>
      <c r="F57" s="13" t="s">
        <v>55</v>
      </c>
      <c r="G57" s="13" t="s">
        <v>56</v>
      </c>
      <c r="H57" s="13" t="s">
        <v>312</v>
      </c>
      <c r="I57" s="13" t="s">
        <v>58</v>
      </c>
      <c r="J57" s="13" t="s">
        <v>193</v>
      </c>
      <c r="K57" s="13" t="s">
        <v>193</v>
      </c>
      <c r="L57" s="13" t="s">
        <v>60</v>
      </c>
      <c r="M57" s="13" t="s">
        <v>313</v>
      </c>
    </row>
    <row r="58" spans="1:13" ht="78" customHeight="1" x14ac:dyDescent="0.3">
      <c r="A58" s="13" t="s">
        <v>314</v>
      </c>
      <c r="B58" s="13" t="s">
        <v>51</v>
      </c>
      <c r="C58" s="13" t="s">
        <v>315</v>
      </c>
      <c r="D58" s="13" t="s">
        <v>53</v>
      </c>
      <c r="E58" s="13" t="s">
        <v>54</v>
      </c>
      <c r="F58" s="13" t="s">
        <v>55</v>
      </c>
      <c r="G58" s="13" t="s">
        <v>56</v>
      </c>
      <c r="H58" s="13" t="s">
        <v>316</v>
      </c>
      <c r="I58" s="13" t="s">
        <v>58</v>
      </c>
      <c r="J58" s="13" t="s">
        <v>193</v>
      </c>
      <c r="K58" s="13" t="s">
        <v>193</v>
      </c>
      <c r="L58" s="13" t="s">
        <v>60</v>
      </c>
      <c r="M58" s="13" t="s">
        <v>317</v>
      </c>
    </row>
    <row r="59" spans="1:13" ht="78" customHeight="1" x14ac:dyDescent="0.3">
      <c r="A59" s="13" t="s">
        <v>318</v>
      </c>
      <c r="B59" s="13" t="s">
        <v>51</v>
      </c>
      <c r="C59" s="13" t="s">
        <v>319</v>
      </c>
      <c r="D59" s="13" t="s">
        <v>53</v>
      </c>
      <c r="E59" s="13" t="s">
        <v>54</v>
      </c>
      <c r="F59" s="13" t="s">
        <v>55</v>
      </c>
      <c r="G59" s="13" t="s">
        <v>56</v>
      </c>
      <c r="H59" s="13" t="s">
        <v>320</v>
      </c>
      <c r="I59" s="13" t="s">
        <v>58</v>
      </c>
      <c r="J59" s="13" t="s">
        <v>193</v>
      </c>
      <c r="K59" s="13" t="s">
        <v>193</v>
      </c>
      <c r="L59" s="13" t="s">
        <v>60</v>
      </c>
      <c r="M59" s="13" t="s">
        <v>321</v>
      </c>
    </row>
    <row r="60" spans="1:13" ht="78" customHeight="1" x14ac:dyDescent="0.3">
      <c r="A60" s="13" t="s">
        <v>322</v>
      </c>
      <c r="B60" s="13" t="s">
        <v>51</v>
      </c>
      <c r="C60" s="13" t="s">
        <v>323</v>
      </c>
      <c r="D60" s="13" t="s">
        <v>53</v>
      </c>
      <c r="E60" s="13" t="s">
        <v>54</v>
      </c>
      <c r="F60" s="13" t="s">
        <v>55</v>
      </c>
      <c r="G60" s="13" t="s">
        <v>56</v>
      </c>
      <c r="H60" s="13" t="s">
        <v>324</v>
      </c>
      <c r="I60" s="13" t="s">
        <v>58</v>
      </c>
      <c r="J60" s="13" t="s">
        <v>193</v>
      </c>
      <c r="K60" s="13" t="s">
        <v>193</v>
      </c>
      <c r="L60" s="13" t="s">
        <v>60</v>
      </c>
      <c r="M60" s="13" t="s">
        <v>325</v>
      </c>
    </row>
    <row r="61" spans="1:13" ht="78" customHeight="1" x14ac:dyDescent="0.3">
      <c r="A61" s="13" t="s">
        <v>326</v>
      </c>
      <c r="B61" s="13" t="s">
        <v>51</v>
      </c>
      <c r="C61" s="13" t="s">
        <v>327</v>
      </c>
      <c r="D61" s="13" t="s">
        <v>53</v>
      </c>
      <c r="E61" s="13" t="s">
        <v>54</v>
      </c>
      <c r="F61" s="13" t="s">
        <v>55</v>
      </c>
      <c r="G61" s="13" t="s">
        <v>56</v>
      </c>
      <c r="H61" s="13" t="s">
        <v>328</v>
      </c>
      <c r="I61" s="13" t="s">
        <v>58</v>
      </c>
      <c r="J61" s="13" t="s">
        <v>193</v>
      </c>
      <c r="K61" s="13" t="s">
        <v>193</v>
      </c>
      <c r="L61" s="13" t="s">
        <v>60</v>
      </c>
      <c r="M61" s="13" t="s">
        <v>329</v>
      </c>
    </row>
    <row r="62" spans="1:13" ht="78" customHeight="1" x14ac:dyDescent="0.3">
      <c r="A62" s="13" t="s">
        <v>330</v>
      </c>
      <c r="B62" s="13" t="s">
        <v>51</v>
      </c>
      <c r="C62" s="13" t="s">
        <v>331</v>
      </c>
      <c r="D62" s="13" t="s">
        <v>53</v>
      </c>
      <c r="E62" s="13" t="s">
        <v>54</v>
      </c>
      <c r="F62" s="13" t="s">
        <v>55</v>
      </c>
      <c r="G62" s="13" t="s">
        <v>56</v>
      </c>
      <c r="H62" s="13" t="s">
        <v>332</v>
      </c>
      <c r="I62" s="13" t="s">
        <v>58</v>
      </c>
      <c r="J62" s="13" t="s">
        <v>193</v>
      </c>
      <c r="K62" s="13" t="s">
        <v>193</v>
      </c>
      <c r="L62" s="13" t="s">
        <v>60</v>
      </c>
      <c r="M62" s="13" t="s">
        <v>333</v>
      </c>
    </row>
    <row r="63" spans="1:13" ht="78" customHeight="1" x14ac:dyDescent="0.3">
      <c r="A63" s="13" t="s">
        <v>334</v>
      </c>
      <c r="B63" s="13" t="s">
        <v>51</v>
      </c>
      <c r="C63" s="13" t="s">
        <v>335</v>
      </c>
      <c r="D63" s="13" t="s">
        <v>53</v>
      </c>
      <c r="E63" s="13" t="s">
        <v>54</v>
      </c>
      <c r="F63" s="13" t="s">
        <v>55</v>
      </c>
      <c r="G63" s="13" t="s">
        <v>56</v>
      </c>
      <c r="H63" s="13" t="s">
        <v>336</v>
      </c>
      <c r="I63" s="13" t="s">
        <v>58</v>
      </c>
      <c r="J63" s="13" t="s">
        <v>193</v>
      </c>
      <c r="K63" s="13" t="s">
        <v>193</v>
      </c>
      <c r="L63" s="13" t="s">
        <v>60</v>
      </c>
      <c r="M63" s="13" t="s">
        <v>337</v>
      </c>
    </row>
    <row r="64" spans="1:13" ht="78" customHeight="1" x14ac:dyDescent="0.3">
      <c r="A64" s="13" t="s">
        <v>338</v>
      </c>
      <c r="B64" s="13" t="s">
        <v>51</v>
      </c>
      <c r="C64" s="13" t="s">
        <v>339</v>
      </c>
      <c r="D64" s="13" t="s">
        <v>53</v>
      </c>
      <c r="E64" s="13" t="s">
        <v>54</v>
      </c>
      <c r="F64" s="13" t="s">
        <v>55</v>
      </c>
      <c r="G64" s="13" t="s">
        <v>56</v>
      </c>
      <c r="H64" s="13" t="s">
        <v>340</v>
      </c>
      <c r="I64" s="13" t="s">
        <v>58</v>
      </c>
      <c r="J64" s="13" t="s">
        <v>193</v>
      </c>
      <c r="K64" s="13" t="s">
        <v>193</v>
      </c>
      <c r="L64" s="13" t="s">
        <v>60</v>
      </c>
      <c r="M64" s="13" t="s">
        <v>341</v>
      </c>
    </row>
    <row r="65" spans="1:13" ht="78" customHeight="1" x14ac:dyDescent="0.3">
      <c r="A65" s="13" t="s">
        <v>342</v>
      </c>
      <c r="B65" s="13" t="s">
        <v>51</v>
      </c>
      <c r="C65" s="13" t="s">
        <v>343</v>
      </c>
      <c r="D65" s="13" t="s">
        <v>53</v>
      </c>
      <c r="E65" s="13" t="s">
        <v>54</v>
      </c>
      <c r="F65" s="13" t="s">
        <v>55</v>
      </c>
      <c r="G65" s="13" t="s">
        <v>56</v>
      </c>
      <c r="H65" s="13" t="s">
        <v>344</v>
      </c>
      <c r="I65" s="13" t="s">
        <v>58</v>
      </c>
      <c r="J65" s="13" t="s">
        <v>193</v>
      </c>
      <c r="K65" s="13" t="s">
        <v>193</v>
      </c>
      <c r="L65" s="13" t="s">
        <v>60</v>
      </c>
      <c r="M65" s="13" t="s">
        <v>345</v>
      </c>
    </row>
    <row r="66" spans="1:13" ht="78" customHeight="1" x14ac:dyDescent="0.3">
      <c r="A66" s="13" t="s">
        <v>346</v>
      </c>
      <c r="B66" s="13" t="s">
        <v>51</v>
      </c>
      <c r="C66" s="13" t="s">
        <v>347</v>
      </c>
      <c r="D66" s="13" t="s">
        <v>53</v>
      </c>
      <c r="E66" s="13" t="s">
        <v>54</v>
      </c>
      <c r="F66" s="13" t="s">
        <v>55</v>
      </c>
      <c r="G66" s="13" t="s">
        <v>56</v>
      </c>
      <c r="H66" s="13" t="s">
        <v>348</v>
      </c>
      <c r="I66" s="13" t="s">
        <v>58</v>
      </c>
      <c r="J66" s="13" t="s">
        <v>193</v>
      </c>
      <c r="K66" s="13" t="s">
        <v>193</v>
      </c>
      <c r="L66" s="13" t="s">
        <v>60</v>
      </c>
      <c r="M66" s="13" t="s">
        <v>349</v>
      </c>
    </row>
    <row r="67" spans="1:13" ht="78" customHeight="1" x14ac:dyDescent="0.3">
      <c r="A67" s="13" t="s">
        <v>350</v>
      </c>
      <c r="B67" s="13" t="s">
        <v>51</v>
      </c>
      <c r="C67" s="13" t="s">
        <v>351</v>
      </c>
      <c r="D67" s="13" t="s">
        <v>53</v>
      </c>
      <c r="E67" s="13" t="s">
        <v>54</v>
      </c>
      <c r="F67" s="13" t="s">
        <v>55</v>
      </c>
      <c r="G67" s="13" t="s">
        <v>56</v>
      </c>
      <c r="H67" s="13" t="s">
        <v>352</v>
      </c>
      <c r="I67" s="13" t="s">
        <v>58</v>
      </c>
      <c r="J67" s="13" t="s">
        <v>193</v>
      </c>
      <c r="K67" s="13" t="s">
        <v>193</v>
      </c>
      <c r="L67" s="13" t="s">
        <v>60</v>
      </c>
      <c r="M67" s="13" t="s">
        <v>353</v>
      </c>
    </row>
    <row r="68" spans="1:13" ht="78" customHeight="1" x14ac:dyDescent="0.3">
      <c r="A68" s="13" t="s">
        <v>354</v>
      </c>
      <c r="B68" s="13" t="s">
        <v>51</v>
      </c>
      <c r="C68" s="13" t="s">
        <v>355</v>
      </c>
      <c r="D68" s="13" t="s">
        <v>53</v>
      </c>
      <c r="E68" s="13" t="s">
        <v>54</v>
      </c>
      <c r="F68" s="13" t="s">
        <v>55</v>
      </c>
      <c r="G68" s="13" t="s">
        <v>56</v>
      </c>
      <c r="H68" s="13" t="s">
        <v>356</v>
      </c>
      <c r="I68" s="13" t="s">
        <v>58</v>
      </c>
      <c r="J68" s="13" t="s">
        <v>193</v>
      </c>
      <c r="K68" s="13" t="s">
        <v>193</v>
      </c>
      <c r="L68" s="13" t="s">
        <v>60</v>
      </c>
      <c r="M68" s="13" t="s">
        <v>357</v>
      </c>
    </row>
    <row r="69" spans="1:13" ht="78" customHeight="1" x14ac:dyDescent="0.3">
      <c r="A69" s="13" t="s">
        <v>358</v>
      </c>
      <c r="B69" s="13" t="s">
        <v>51</v>
      </c>
      <c r="C69" s="13" t="s">
        <v>359</v>
      </c>
      <c r="D69" s="13" t="s">
        <v>53</v>
      </c>
      <c r="E69" s="13" t="s">
        <v>54</v>
      </c>
      <c r="F69" s="13" t="s">
        <v>55</v>
      </c>
      <c r="G69" s="13" t="s">
        <v>56</v>
      </c>
      <c r="H69" s="13" t="s">
        <v>360</v>
      </c>
      <c r="I69" s="13" t="s">
        <v>58</v>
      </c>
      <c r="J69" s="13" t="s">
        <v>193</v>
      </c>
      <c r="K69" s="13" t="s">
        <v>193</v>
      </c>
      <c r="L69" s="13" t="s">
        <v>60</v>
      </c>
      <c r="M69" s="13" t="s">
        <v>361</v>
      </c>
    </row>
    <row r="70" spans="1:13" ht="78" customHeight="1" x14ac:dyDescent="0.3">
      <c r="A70" s="13" t="s">
        <v>362</v>
      </c>
      <c r="B70" s="13" t="s">
        <v>51</v>
      </c>
      <c r="C70" s="13" t="s">
        <v>363</v>
      </c>
      <c r="D70" s="13" t="s">
        <v>53</v>
      </c>
      <c r="E70" s="13" t="s">
        <v>54</v>
      </c>
      <c r="F70" s="13" t="s">
        <v>55</v>
      </c>
      <c r="G70" s="13" t="s">
        <v>56</v>
      </c>
      <c r="H70" s="13" t="s">
        <v>364</v>
      </c>
      <c r="I70" s="13" t="s">
        <v>58</v>
      </c>
      <c r="J70" s="13" t="s">
        <v>193</v>
      </c>
      <c r="K70" s="13" t="s">
        <v>193</v>
      </c>
      <c r="L70" s="13" t="s">
        <v>60</v>
      </c>
      <c r="M70" s="13" t="s">
        <v>365</v>
      </c>
    </row>
    <row r="71" spans="1:13" ht="78" customHeight="1" x14ac:dyDescent="0.3">
      <c r="A71" s="13" t="s">
        <v>366</v>
      </c>
      <c r="B71" s="13" t="s">
        <v>51</v>
      </c>
      <c r="C71" s="13" t="s">
        <v>367</v>
      </c>
      <c r="D71" s="13" t="s">
        <v>53</v>
      </c>
      <c r="E71" s="13" t="s">
        <v>54</v>
      </c>
      <c r="F71" s="13" t="s">
        <v>55</v>
      </c>
      <c r="G71" s="13" t="s">
        <v>56</v>
      </c>
      <c r="H71" s="13" t="s">
        <v>368</v>
      </c>
      <c r="I71" s="13" t="s">
        <v>58</v>
      </c>
      <c r="J71" s="13" t="s">
        <v>193</v>
      </c>
      <c r="K71" s="13" t="s">
        <v>193</v>
      </c>
      <c r="L71" s="13" t="s">
        <v>60</v>
      </c>
      <c r="M71" s="13" t="s">
        <v>369</v>
      </c>
    </row>
    <row r="72" spans="1:13" ht="78" customHeight="1" x14ac:dyDescent="0.3">
      <c r="A72" s="13" t="s">
        <v>370</v>
      </c>
      <c r="B72" s="13" t="s">
        <v>51</v>
      </c>
      <c r="C72" s="13" t="s">
        <v>371</v>
      </c>
      <c r="D72" s="13" t="s">
        <v>53</v>
      </c>
      <c r="E72" s="13" t="s">
        <v>54</v>
      </c>
      <c r="F72" s="13" t="s">
        <v>55</v>
      </c>
      <c r="G72" s="13" t="s">
        <v>56</v>
      </c>
      <c r="H72" s="13" t="s">
        <v>372</v>
      </c>
      <c r="I72" s="13" t="s">
        <v>58</v>
      </c>
      <c r="J72" s="13" t="s">
        <v>193</v>
      </c>
      <c r="K72" s="13" t="s">
        <v>193</v>
      </c>
      <c r="L72" s="13" t="s">
        <v>60</v>
      </c>
      <c r="M72" s="13" t="s">
        <v>373</v>
      </c>
    </row>
    <row r="73" spans="1:13" ht="78" customHeight="1" x14ac:dyDescent="0.3">
      <c r="A73" s="13" t="s">
        <v>374</v>
      </c>
      <c r="B73" s="13" t="s">
        <v>51</v>
      </c>
      <c r="C73" s="13" t="s">
        <v>375</v>
      </c>
      <c r="D73" s="13" t="s">
        <v>53</v>
      </c>
      <c r="E73" s="13" t="s">
        <v>54</v>
      </c>
      <c r="F73" s="13" t="s">
        <v>55</v>
      </c>
      <c r="G73" s="13" t="s">
        <v>56</v>
      </c>
      <c r="H73" s="13" t="s">
        <v>376</v>
      </c>
      <c r="I73" s="13" t="s">
        <v>58</v>
      </c>
      <c r="J73" s="13" t="s">
        <v>193</v>
      </c>
      <c r="K73" s="13" t="s">
        <v>193</v>
      </c>
      <c r="L73" s="13" t="s">
        <v>60</v>
      </c>
      <c r="M73" s="13" t="s">
        <v>377</v>
      </c>
    </row>
    <row r="74" spans="1:13" ht="78" customHeight="1" x14ac:dyDescent="0.3">
      <c r="A74" s="13" t="s">
        <v>378</v>
      </c>
      <c r="B74" s="13" t="s">
        <v>51</v>
      </c>
      <c r="C74" s="13" t="s">
        <v>379</v>
      </c>
      <c r="D74" s="13" t="s">
        <v>53</v>
      </c>
      <c r="E74" s="13" t="s">
        <v>54</v>
      </c>
      <c r="F74" s="13" t="s">
        <v>55</v>
      </c>
      <c r="G74" s="13" t="s">
        <v>56</v>
      </c>
      <c r="H74" s="13" t="s">
        <v>380</v>
      </c>
      <c r="I74" s="13" t="s">
        <v>58</v>
      </c>
      <c r="J74" s="13" t="s">
        <v>193</v>
      </c>
      <c r="K74" s="13" t="s">
        <v>193</v>
      </c>
      <c r="L74" s="13" t="s">
        <v>60</v>
      </c>
      <c r="M74" s="13" t="s">
        <v>381</v>
      </c>
    </row>
    <row r="75" spans="1:13" ht="78" customHeight="1" x14ac:dyDescent="0.3">
      <c r="A75" s="13" t="s">
        <v>382</v>
      </c>
      <c r="B75" s="13" t="s">
        <v>51</v>
      </c>
      <c r="C75" s="13" t="s">
        <v>383</v>
      </c>
      <c r="D75" s="13" t="s">
        <v>53</v>
      </c>
      <c r="E75" s="13" t="s">
        <v>54</v>
      </c>
      <c r="F75" s="13" t="s">
        <v>55</v>
      </c>
      <c r="G75" s="13" t="s">
        <v>56</v>
      </c>
      <c r="H75" s="13" t="s">
        <v>384</v>
      </c>
      <c r="I75" s="13" t="s">
        <v>58</v>
      </c>
      <c r="J75" s="13" t="s">
        <v>193</v>
      </c>
      <c r="K75" s="13" t="s">
        <v>193</v>
      </c>
      <c r="L75" s="13" t="s">
        <v>60</v>
      </c>
      <c r="M75" s="13" t="s">
        <v>385</v>
      </c>
    </row>
    <row r="76" spans="1:13" ht="78" customHeight="1" x14ac:dyDescent="0.3">
      <c r="A76" s="13" t="s">
        <v>386</v>
      </c>
      <c r="B76" s="13" t="s">
        <v>51</v>
      </c>
      <c r="C76" s="13" t="s">
        <v>387</v>
      </c>
      <c r="D76" s="13" t="s">
        <v>53</v>
      </c>
      <c r="E76" s="13" t="s">
        <v>54</v>
      </c>
      <c r="F76" s="13" t="s">
        <v>55</v>
      </c>
      <c r="G76" s="13" t="s">
        <v>56</v>
      </c>
      <c r="H76" s="13" t="s">
        <v>388</v>
      </c>
      <c r="I76" s="13" t="s">
        <v>58</v>
      </c>
      <c r="J76" s="13" t="s">
        <v>193</v>
      </c>
      <c r="K76" s="13" t="s">
        <v>193</v>
      </c>
      <c r="L76" s="13" t="s">
        <v>60</v>
      </c>
      <c r="M76" s="13" t="s">
        <v>389</v>
      </c>
    </row>
    <row r="77" spans="1:13" ht="78" customHeight="1" x14ac:dyDescent="0.3">
      <c r="A77" s="13" t="s">
        <v>390</v>
      </c>
      <c r="B77" s="13" t="s">
        <v>51</v>
      </c>
      <c r="C77" s="13" t="s">
        <v>391</v>
      </c>
      <c r="D77" s="13" t="s">
        <v>53</v>
      </c>
      <c r="E77" s="13" t="s">
        <v>54</v>
      </c>
      <c r="F77" s="13" t="s">
        <v>55</v>
      </c>
      <c r="G77" s="13" t="s">
        <v>56</v>
      </c>
      <c r="H77" s="13" t="s">
        <v>392</v>
      </c>
      <c r="I77" s="13" t="s">
        <v>58</v>
      </c>
      <c r="J77" s="13" t="s">
        <v>393</v>
      </c>
      <c r="K77" s="13" t="s">
        <v>394</v>
      </c>
      <c r="L77" s="13" t="s">
        <v>70</v>
      </c>
      <c r="M77" s="13" t="s">
        <v>395</v>
      </c>
    </row>
    <row r="78" spans="1:13" ht="78" customHeight="1" x14ac:dyDescent="0.3">
      <c r="A78" s="13" t="s">
        <v>396</v>
      </c>
      <c r="B78" s="13" t="s">
        <v>51</v>
      </c>
      <c r="C78" s="13" t="s">
        <v>397</v>
      </c>
      <c r="D78" s="13" t="s">
        <v>53</v>
      </c>
      <c r="E78" s="13" t="s">
        <v>54</v>
      </c>
      <c r="F78" s="13" t="s">
        <v>55</v>
      </c>
      <c r="G78" s="13" t="s">
        <v>56</v>
      </c>
      <c r="H78" s="13" t="s">
        <v>398</v>
      </c>
      <c r="I78" s="13" t="s">
        <v>58</v>
      </c>
      <c r="J78" s="13" t="s">
        <v>193</v>
      </c>
      <c r="K78" s="13" t="s">
        <v>399</v>
      </c>
      <c r="L78" s="13" t="s">
        <v>70</v>
      </c>
      <c r="M78" s="13" t="s">
        <v>400</v>
      </c>
    </row>
    <row r="79" spans="1:13" ht="78" customHeight="1" x14ac:dyDescent="0.3">
      <c r="A79" s="13" t="s">
        <v>401</v>
      </c>
      <c r="B79" s="13" t="s">
        <v>51</v>
      </c>
      <c r="C79" s="13" t="s">
        <v>402</v>
      </c>
      <c r="D79" s="13" t="s">
        <v>53</v>
      </c>
      <c r="E79" s="13" t="s">
        <v>54</v>
      </c>
      <c r="F79" s="13" t="s">
        <v>55</v>
      </c>
      <c r="G79" s="13" t="s">
        <v>56</v>
      </c>
      <c r="H79" s="13" t="s">
        <v>403</v>
      </c>
      <c r="I79" s="13" t="s">
        <v>58</v>
      </c>
      <c r="J79" s="13" t="s">
        <v>193</v>
      </c>
      <c r="K79" s="13" t="s">
        <v>193</v>
      </c>
      <c r="L79" s="13" t="s">
        <v>60</v>
      </c>
      <c r="M79" s="13" t="s">
        <v>404</v>
      </c>
    </row>
    <row r="80" spans="1:13" ht="78" customHeight="1" x14ac:dyDescent="0.3">
      <c r="A80" s="13" t="s">
        <v>405</v>
      </c>
      <c r="B80" s="13" t="s">
        <v>51</v>
      </c>
      <c r="C80" s="13" t="s">
        <v>406</v>
      </c>
      <c r="D80" s="13" t="s">
        <v>53</v>
      </c>
      <c r="E80" s="13" t="s">
        <v>54</v>
      </c>
      <c r="F80" s="13" t="s">
        <v>55</v>
      </c>
      <c r="G80" s="13" t="s">
        <v>56</v>
      </c>
      <c r="H80" s="13" t="s">
        <v>407</v>
      </c>
      <c r="I80" s="13" t="s">
        <v>58</v>
      </c>
      <c r="J80" s="13" t="s">
        <v>193</v>
      </c>
      <c r="K80" s="13" t="s">
        <v>193</v>
      </c>
      <c r="L80" s="13" t="s">
        <v>60</v>
      </c>
      <c r="M80" s="13" t="s">
        <v>408</v>
      </c>
    </row>
    <row r="81" spans="1:13" ht="78" customHeight="1" x14ac:dyDescent="0.3">
      <c r="A81" s="13" t="s">
        <v>409</v>
      </c>
      <c r="B81" s="13" t="s">
        <v>51</v>
      </c>
      <c r="C81" s="13" t="s">
        <v>410</v>
      </c>
      <c r="D81" s="13" t="s">
        <v>53</v>
      </c>
      <c r="E81" s="13" t="s">
        <v>54</v>
      </c>
      <c r="F81" s="13" t="s">
        <v>55</v>
      </c>
      <c r="G81" s="13" t="s">
        <v>56</v>
      </c>
      <c r="H81" s="13" t="s">
        <v>411</v>
      </c>
      <c r="I81" s="13" t="s">
        <v>58</v>
      </c>
      <c r="J81" s="13" t="s">
        <v>193</v>
      </c>
      <c r="K81" s="13" t="s">
        <v>193</v>
      </c>
      <c r="L81" s="13" t="s">
        <v>60</v>
      </c>
      <c r="M81" s="13" t="s">
        <v>412</v>
      </c>
    </row>
    <row r="82" spans="1:13" ht="78" customHeight="1" x14ac:dyDescent="0.3">
      <c r="A82" s="13" t="s">
        <v>413</v>
      </c>
      <c r="B82" s="13" t="s">
        <v>51</v>
      </c>
      <c r="C82" s="13" t="s">
        <v>414</v>
      </c>
      <c r="D82" s="13" t="s">
        <v>53</v>
      </c>
      <c r="E82" s="13" t="s">
        <v>54</v>
      </c>
      <c r="F82" s="13" t="s">
        <v>55</v>
      </c>
      <c r="G82" s="13" t="s">
        <v>56</v>
      </c>
      <c r="H82" s="13" t="s">
        <v>415</v>
      </c>
      <c r="I82" s="13" t="s">
        <v>58</v>
      </c>
      <c r="J82" s="13" t="s">
        <v>193</v>
      </c>
      <c r="K82" s="13" t="s">
        <v>193</v>
      </c>
      <c r="L82" s="13" t="s">
        <v>60</v>
      </c>
      <c r="M82" s="13" t="s">
        <v>416</v>
      </c>
    </row>
    <row r="83" spans="1:13" ht="78" customHeight="1" x14ac:dyDescent="0.3">
      <c r="A83" s="13" t="s">
        <v>417</v>
      </c>
      <c r="B83" s="13" t="s">
        <v>51</v>
      </c>
      <c r="C83" s="13" t="s">
        <v>418</v>
      </c>
      <c r="D83" s="13" t="s">
        <v>53</v>
      </c>
      <c r="E83" s="13" t="s">
        <v>54</v>
      </c>
      <c r="F83" s="13" t="s">
        <v>55</v>
      </c>
      <c r="G83" s="13" t="s">
        <v>56</v>
      </c>
      <c r="H83" s="13" t="s">
        <v>419</v>
      </c>
      <c r="I83" s="13" t="s">
        <v>58</v>
      </c>
      <c r="J83" s="13" t="s">
        <v>193</v>
      </c>
      <c r="K83" s="13" t="s">
        <v>193</v>
      </c>
      <c r="L83" s="13" t="s">
        <v>60</v>
      </c>
      <c r="M83" s="13" t="s">
        <v>420</v>
      </c>
    </row>
    <row r="84" spans="1:13" ht="78" customHeight="1" x14ac:dyDescent="0.3">
      <c r="A84" s="13" t="s">
        <v>421</v>
      </c>
      <c r="B84" s="13" t="s">
        <v>51</v>
      </c>
      <c r="C84" s="13" t="s">
        <v>422</v>
      </c>
      <c r="D84" s="13" t="s">
        <v>53</v>
      </c>
      <c r="E84" s="13" t="s">
        <v>54</v>
      </c>
      <c r="F84" s="13" t="s">
        <v>55</v>
      </c>
      <c r="G84" s="13" t="s">
        <v>56</v>
      </c>
      <c r="H84" s="13" t="s">
        <v>423</v>
      </c>
      <c r="I84" s="13" t="s">
        <v>58</v>
      </c>
      <c r="J84" s="13" t="s">
        <v>193</v>
      </c>
      <c r="K84" s="13" t="s">
        <v>399</v>
      </c>
      <c r="L84" s="13" t="s">
        <v>70</v>
      </c>
      <c r="M84" s="13" t="s">
        <v>424</v>
      </c>
    </row>
    <row r="85" spans="1:13" ht="78" customHeight="1" x14ac:dyDescent="0.3">
      <c r="A85" s="13" t="s">
        <v>425</v>
      </c>
      <c r="B85" s="13" t="s">
        <v>51</v>
      </c>
      <c r="C85" s="13" t="s">
        <v>426</v>
      </c>
      <c r="D85" s="13" t="s">
        <v>53</v>
      </c>
      <c r="E85" s="13" t="s">
        <v>54</v>
      </c>
      <c r="F85" s="13" t="s">
        <v>55</v>
      </c>
      <c r="G85" s="13" t="s">
        <v>56</v>
      </c>
      <c r="H85" s="13" t="s">
        <v>427</v>
      </c>
      <c r="I85" s="13" t="s">
        <v>58</v>
      </c>
      <c r="J85" s="13" t="s">
        <v>193</v>
      </c>
      <c r="K85" s="13" t="s">
        <v>193</v>
      </c>
      <c r="L85" s="13" t="s">
        <v>60</v>
      </c>
      <c r="M85" s="13" t="s">
        <v>428</v>
      </c>
    </row>
    <row r="86" spans="1:13" ht="78" customHeight="1" x14ac:dyDescent="0.3">
      <c r="A86" s="13" t="s">
        <v>429</v>
      </c>
      <c r="B86" s="13" t="s">
        <v>51</v>
      </c>
      <c r="C86" s="13" t="s">
        <v>430</v>
      </c>
      <c r="D86" s="13" t="s">
        <v>53</v>
      </c>
      <c r="E86" s="13" t="s">
        <v>54</v>
      </c>
      <c r="F86" s="13" t="s">
        <v>55</v>
      </c>
      <c r="G86" s="13" t="s">
        <v>56</v>
      </c>
      <c r="H86" s="13" t="s">
        <v>431</v>
      </c>
      <c r="I86" s="13" t="s">
        <v>58</v>
      </c>
      <c r="J86" s="13" t="s">
        <v>193</v>
      </c>
      <c r="K86" s="13" t="s">
        <v>193</v>
      </c>
      <c r="L86" s="13" t="s">
        <v>60</v>
      </c>
      <c r="M86" s="13" t="s">
        <v>432</v>
      </c>
    </row>
    <row r="87" spans="1:13" ht="78" customHeight="1" x14ac:dyDescent="0.3">
      <c r="A87" s="13" t="s">
        <v>433</v>
      </c>
      <c r="B87" s="13" t="s">
        <v>51</v>
      </c>
      <c r="C87" s="13" t="s">
        <v>434</v>
      </c>
      <c r="D87" s="13" t="s">
        <v>53</v>
      </c>
      <c r="E87" s="13" t="s">
        <v>54</v>
      </c>
      <c r="F87" s="13" t="s">
        <v>55</v>
      </c>
      <c r="G87" s="13" t="s">
        <v>56</v>
      </c>
      <c r="H87" s="13" t="s">
        <v>435</v>
      </c>
      <c r="I87" s="13" t="s">
        <v>58</v>
      </c>
      <c r="J87" s="13" t="s">
        <v>193</v>
      </c>
      <c r="K87" s="13" t="s">
        <v>193</v>
      </c>
      <c r="L87" s="13" t="s">
        <v>60</v>
      </c>
      <c r="M87" s="13" t="s">
        <v>436</v>
      </c>
    </row>
    <row r="88" spans="1:13" ht="78" customHeight="1" x14ac:dyDescent="0.3">
      <c r="A88" s="13" t="s">
        <v>437</v>
      </c>
      <c r="B88" s="13" t="s">
        <v>51</v>
      </c>
      <c r="C88" s="13" t="s">
        <v>438</v>
      </c>
      <c r="D88" s="13" t="s">
        <v>53</v>
      </c>
      <c r="E88" s="13" t="s">
        <v>54</v>
      </c>
      <c r="F88" s="13" t="s">
        <v>55</v>
      </c>
      <c r="G88" s="13" t="s">
        <v>56</v>
      </c>
      <c r="H88" s="13" t="s">
        <v>439</v>
      </c>
      <c r="I88" s="13" t="s">
        <v>58</v>
      </c>
      <c r="J88" s="13" t="s">
        <v>193</v>
      </c>
      <c r="K88" s="13" t="s">
        <v>193</v>
      </c>
      <c r="L88" s="13" t="s">
        <v>60</v>
      </c>
      <c r="M88" s="13" t="s">
        <v>440</v>
      </c>
    </row>
    <row r="89" spans="1:13" ht="78" customHeight="1" x14ac:dyDescent="0.3">
      <c r="A89" s="13" t="s">
        <v>441</v>
      </c>
      <c r="B89" s="13" t="s">
        <v>51</v>
      </c>
      <c r="C89" s="13" t="s">
        <v>442</v>
      </c>
      <c r="D89" s="13" t="s">
        <v>53</v>
      </c>
      <c r="E89" s="13" t="s">
        <v>54</v>
      </c>
      <c r="F89" s="13" t="s">
        <v>55</v>
      </c>
      <c r="G89" s="13" t="s">
        <v>56</v>
      </c>
      <c r="H89" s="13" t="s">
        <v>443</v>
      </c>
      <c r="I89" s="13" t="s">
        <v>58</v>
      </c>
      <c r="J89" s="13" t="s">
        <v>193</v>
      </c>
      <c r="K89" s="13" t="s">
        <v>193</v>
      </c>
      <c r="L89" s="13" t="s">
        <v>60</v>
      </c>
      <c r="M89" s="13" t="s">
        <v>444</v>
      </c>
    </row>
    <row r="90" spans="1:13" ht="78" customHeight="1" x14ac:dyDescent="0.3">
      <c r="A90" s="13" t="s">
        <v>445</v>
      </c>
      <c r="B90" s="13" t="s">
        <v>51</v>
      </c>
      <c r="C90" s="13" t="s">
        <v>446</v>
      </c>
      <c r="D90" s="13" t="s">
        <v>53</v>
      </c>
      <c r="E90" s="13" t="s">
        <v>54</v>
      </c>
      <c r="F90" s="13" t="s">
        <v>55</v>
      </c>
      <c r="G90" s="13" t="s">
        <v>56</v>
      </c>
      <c r="H90" s="13" t="s">
        <v>447</v>
      </c>
      <c r="I90" s="13" t="s">
        <v>58</v>
      </c>
      <c r="J90" s="13" t="s">
        <v>193</v>
      </c>
      <c r="K90" s="13" t="s">
        <v>193</v>
      </c>
      <c r="L90" s="13" t="s">
        <v>60</v>
      </c>
      <c r="M90" s="13" t="s">
        <v>448</v>
      </c>
    </row>
    <row r="91" spans="1:13" ht="78" customHeight="1" x14ac:dyDescent="0.3">
      <c r="A91" s="13" t="s">
        <v>449</v>
      </c>
      <c r="B91" s="13" t="s">
        <v>51</v>
      </c>
      <c r="C91" s="13" t="s">
        <v>450</v>
      </c>
      <c r="D91" s="13" t="s">
        <v>53</v>
      </c>
      <c r="E91" s="13" t="s">
        <v>54</v>
      </c>
      <c r="F91" s="13" t="s">
        <v>55</v>
      </c>
      <c r="G91" s="13" t="s">
        <v>56</v>
      </c>
      <c r="H91" s="13" t="s">
        <v>451</v>
      </c>
      <c r="I91" s="13" t="s">
        <v>58</v>
      </c>
      <c r="J91" s="13" t="s">
        <v>193</v>
      </c>
      <c r="K91" s="13" t="s">
        <v>193</v>
      </c>
      <c r="L91" s="13" t="s">
        <v>60</v>
      </c>
      <c r="M91" s="13" t="s">
        <v>452</v>
      </c>
    </row>
    <row r="92" spans="1:13" ht="78" customHeight="1" x14ac:dyDescent="0.3">
      <c r="A92" s="13" t="s">
        <v>453</v>
      </c>
      <c r="B92" s="13" t="s">
        <v>51</v>
      </c>
      <c r="C92" s="13" t="s">
        <v>454</v>
      </c>
      <c r="D92" s="13" t="s">
        <v>53</v>
      </c>
      <c r="E92" s="13" t="s">
        <v>54</v>
      </c>
      <c r="F92" s="13" t="s">
        <v>55</v>
      </c>
      <c r="G92" s="13" t="s">
        <v>56</v>
      </c>
      <c r="H92" s="13" t="s">
        <v>455</v>
      </c>
      <c r="I92" s="13" t="s">
        <v>58</v>
      </c>
      <c r="J92" s="13" t="s">
        <v>193</v>
      </c>
      <c r="K92" s="13" t="s">
        <v>193</v>
      </c>
      <c r="L92" s="13" t="s">
        <v>60</v>
      </c>
      <c r="M92" s="13" t="s">
        <v>456</v>
      </c>
    </row>
    <row r="93" spans="1:13" ht="78" customHeight="1" x14ac:dyDescent="0.3">
      <c r="A93" s="13" t="s">
        <v>457</v>
      </c>
      <c r="B93" s="13" t="s">
        <v>51</v>
      </c>
      <c r="C93" s="13" t="s">
        <v>458</v>
      </c>
      <c r="D93" s="13" t="s">
        <v>53</v>
      </c>
      <c r="E93" s="13" t="s">
        <v>54</v>
      </c>
      <c r="F93" s="13" t="s">
        <v>55</v>
      </c>
      <c r="G93" s="13" t="s">
        <v>56</v>
      </c>
      <c r="H93" s="13" t="s">
        <v>459</v>
      </c>
      <c r="I93" s="13" t="s">
        <v>58</v>
      </c>
      <c r="J93" s="13" t="s">
        <v>193</v>
      </c>
      <c r="K93" s="13" t="s">
        <v>193</v>
      </c>
      <c r="L93" s="13" t="s">
        <v>60</v>
      </c>
      <c r="M93" s="13" t="s">
        <v>460</v>
      </c>
    </row>
    <row r="94" spans="1:13" ht="78" customHeight="1" x14ac:dyDescent="0.3">
      <c r="A94" s="13" t="s">
        <v>461</v>
      </c>
      <c r="B94" s="13" t="s">
        <v>51</v>
      </c>
      <c r="C94" s="13" t="s">
        <v>462</v>
      </c>
      <c r="D94" s="13" t="s">
        <v>53</v>
      </c>
      <c r="E94" s="13" t="s">
        <v>54</v>
      </c>
      <c r="F94" s="13" t="s">
        <v>55</v>
      </c>
      <c r="G94" s="13" t="s">
        <v>56</v>
      </c>
      <c r="H94" s="13" t="s">
        <v>463</v>
      </c>
      <c r="I94" s="13" t="s">
        <v>58</v>
      </c>
      <c r="J94" s="13" t="s">
        <v>193</v>
      </c>
      <c r="K94" s="13" t="s">
        <v>193</v>
      </c>
      <c r="L94" s="13" t="s">
        <v>60</v>
      </c>
      <c r="M94" s="13" t="s">
        <v>464</v>
      </c>
    </row>
    <row r="95" spans="1:13" ht="78" customHeight="1" x14ac:dyDescent="0.3">
      <c r="A95" s="13" t="s">
        <v>465</v>
      </c>
      <c r="B95" s="13" t="s">
        <v>51</v>
      </c>
      <c r="C95" s="13" t="s">
        <v>466</v>
      </c>
      <c r="D95" s="13" t="s">
        <v>53</v>
      </c>
      <c r="E95" s="13" t="s">
        <v>54</v>
      </c>
      <c r="F95" s="13" t="s">
        <v>55</v>
      </c>
      <c r="G95" s="13" t="s">
        <v>56</v>
      </c>
      <c r="H95" s="13" t="s">
        <v>467</v>
      </c>
      <c r="I95" s="13" t="s">
        <v>58</v>
      </c>
      <c r="J95" s="13" t="s">
        <v>193</v>
      </c>
      <c r="K95" s="13" t="s">
        <v>193</v>
      </c>
      <c r="L95" s="13" t="s">
        <v>60</v>
      </c>
      <c r="M95" s="13" t="s">
        <v>468</v>
      </c>
    </row>
  </sheetData>
  <sheetProtection formatCells="0"/>
  <phoneticPr fontId="16" type="noConversion"/>
  <dataValidations count="2">
    <dataValidation allowBlank="1" showErrorMessage="1" errorTitle="Warning" error="Invalide Data" sqref="K2" xr:uid="{00000000-0002-0000-0100-000000000000}"/>
    <dataValidation type="list" allowBlank="1" showInputMessage="1" showErrorMessage="1" sqref="L2:L95" xr:uid="{00000000-0002-0000-0100-000001000000}">
      <formula1>Result</formula1>
    </dataValidation>
  </dataValidations>
  <pageMargins left="0.5" right="0.5" top="0.5" bottom="0.5" header="0" footer="0"/>
  <pageSetup paperSize="9" fitToHeight="0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28125" defaultRowHeight="15.6" x14ac:dyDescent="0.25"/>
  <cols>
    <col min="1" max="1" width="4.6328125" style="1" customWidth="1"/>
    <col min="2" max="2" width="67.6328125" style="1" customWidth="1"/>
    <col min="3" max="16384" width="11.6328125" style="1"/>
  </cols>
  <sheetData>
    <row r="1" spans="1:3" ht="16.2" x14ac:dyDescent="0.3">
      <c r="A1" s="2" t="s">
        <v>469</v>
      </c>
      <c r="B1" s="2"/>
      <c r="C1" s="3"/>
    </row>
    <row r="2" spans="1:3" ht="28.8" x14ac:dyDescent="0.25">
      <c r="A2" s="4">
        <v>1</v>
      </c>
      <c r="B2" s="5" t="s">
        <v>470</v>
      </c>
      <c r="C2" s="3"/>
    </row>
    <row r="3" spans="1:3" x14ac:dyDescent="0.25">
      <c r="A3" s="4">
        <v>2</v>
      </c>
      <c r="B3" s="5" t="s">
        <v>471</v>
      </c>
      <c r="C3" s="3"/>
    </row>
    <row r="4" spans="1:3" ht="42.6" x14ac:dyDescent="0.25">
      <c r="A4" s="4">
        <v>3</v>
      </c>
      <c r="B4" s="5" t="s">
        <v>472</v>
      </c>
      <c r="C4" s="3"/>
    </row>
    <row r="5" spans="1:3" ht="28.8" x14ac:dyDescent="0.25">
      <c r="A5" s="4">
        <v>4</v>
      </c>
      <c r="B5" s="5" t="s">
        <v>473</v>
      </c>
      <c r="C5" s="3"/>
    </row>
    <row r="6" spans="1:3" ht="33" customHeight="1" x14ac:dyDescent="0.25">
      <c r="A6" s="4">
        <v>5</v>
      </c>
      <c r="B6" s="5" t="s">
        <v>474</v>
      </c>
      <c r="C6" s="3"/>
    </row>
    <row r="7" spans="1:3" ht="42.6" x14ac:dyDescent="0.25">
      <c r="A7" s="4">
        <v>6</v>
      </c>
      <c r="B7" s="5" t="s">
        <v>475</v>
      </c>
      <c r="C7" s="3"/>
    </row>
    <row r="8" spans="1:3" x14ac:dyDescent="0.25">
      <c r="A8" s="4">
        <v>7</v>
      </c>
      <c r="B8" s="5" t="s">
        <v>476</v>
      </c>
      <c r="C8" s="3"/>
    </row>
    <row r="9" spans="1:3" x14ac:dyDescent="0.25">
      <c r="A9" s="6">
        <v>8</v>
      </c>
      <c r="B9" s="7" t="s">
        <v>477</v>
      </c>
      <c r="C9" s="3"/>
    </row>
    <row r="10" spans="1:3" ht="73.5" customHeight="1" x14ac:dyDescent="0.3">
      <c r="A10" s="6">
        <v>9</v>
      </c>
      <c r="B10" s="7" t="s">
        <v>478</v>
      </c>
    </row>
  </sheetData>
  <sheetProtection sheet="1" objects="1" scenarios="1"/>
  <phoneticPr fontId="16" type="noConversion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4</vt:i4>
      </vt:variant>
    </vt:vector>
  </HeadingPairs>
  <TitlesOfParts>
    <vt:vector size="7" baseType="lpstr">
      <vt:lpstr>Information文档信息</vt:lpstr>
      <vt:lpstr>Test Cases测试用例</vt:lpstr>
      <vt:lpstr>Introduction使用说明</vt:lpstr>
      <vt:lpstr>Information文档信息!Print_Area</vt:lpstr>
      <vt:lpstr>'Test Cases测试用例'!Print_Area</vt:lpstr>
      <vt:lpstr>'Test Cases测试用例'!Print_Titles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a17318</cp:lastModifiedBy>
  <cp:lastPrinted>2003-12-15T03:50:00Z</cp:lastPrinted>
  <dcterms:created xsi:type="dcterms:W3CDTF">2003-02-20T06:59:00Z</dcterms:created>
  <dcterms:modified xsi:type="dcterms:W3CDTF">2026-09-15T11:18:46Z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22B8171BE4754E0F8EE943BF7C767CF9_12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